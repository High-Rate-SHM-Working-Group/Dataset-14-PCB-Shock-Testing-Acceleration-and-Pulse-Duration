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2\m018x1_p6KG\"/>
    </mc:Choice>
  </mc:AlternateContent>
  <bookViews>
    <workbookView xWindow="240" yWindow="240" windowWidth="32592" windowHeight="1513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26" i="1" l="1"/>
  <c r="F26" i="1"/>
</calcChain>
</file>

<file path=xl/sharedStrings.xml><?xml version="1.0" encoding="utf-8"?>
<sst xmlns="http://schemas.openxmlformats.org/spreadsheetml/2006/main" count="64" uniqueCount="41">
  <si>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</si>
  <si>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</si>
  <si>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</si>
  <si>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</si>
  <si>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</si>
  <si>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</si>
  <si>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</si>
  <si>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</si>
  <si>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</si>
  <si>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</si>
  <si>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</si>
  <si>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</si>
  <si>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</si>
  <si>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</si>
  <si>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</si>
  <si>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</si>
  <si>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</si>
  <si>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</si>
  <si>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</si>
  <si>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Board Accel</t>
  </si>
  <si>
    <t>72-20k</t>
  </si>
  <si>
    <t>Base accel and board accel/resistor on the board. Meant to find # of impacts to failure at a given peak G and pulse width. Aim for 8500 G, 208 micrs</t>
  </si>
  <si>
    <t>EN1197</t>
  </si>
  <si>
    <t>Set 2/Length 4.5/Board 03</t>
  </si>
  <si>
    <t>Start at height: 21 in, felt: 1/8th; aim for 6000 g</t>
  </si>
  <si>
    <t>16" / 1/8th</t>
  </si>
  <si>
    <t>t01_SET2_h16_m018-F1.txt</t>
  </si>
  <si>
    <t>t02_SET2_h16_m018-F1.txt</t>
  </si>
  <si>
    <t>t03_SET2_h16_m018-F1.txt</t>
  </si>
  <si>
    <t>15.5" / 1/8th</t>
  </si>
  <si>
    <t>t04_SET2_h15_m018-F1.txt</t>
  </si>
  <si>
    <t>t05_SET2_h15_m018-F1.txt</t>
  </si>
  <si>
    <t>t06_SET2_h15_m018-F1.txt</t>
  </si>
  <si>
    <t>t07_SET2_h15_m018-F1.txt</t>
  </si>
  <si>
    <t>t08_SET2_h15_m018-F1.txt</t>
  </si>
  <si>
    <t>t09_SET2_h15_m018-F1.txt</t>
  </si>
  <si>
    <t>t10_SET2_h15_m018-F1.txt</t>
  </si>
  <si>
    <t>t11_SET2_h15_m018-F1.txt</t>
  </si>
  <si>
    <t>t12_SET2_h15_m018-F1.txt</t>
  </si>
  <si>
    <t>t13_SET2_h15_m018-F1.txt</t>
  </si>
  <si>
    <t>Resistor failure. Single joint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</si>
</sst>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topLeftCell="A16" workbookViewId="0">
      <selection activeCell="F26" sqref="F26"/>
    </sheetView>
  </sheetViews>
  <sheetFormatPr defaultRowHeight="14.4" x14ac:dyDescent="0.3"/>
  <cols>
    <col min="1" max="1" width="29.33203125" bestFit="1" customWidth="1"/>
    <col min="2" max="2" width="16" bestFit="1" customWidth="1"/>
    <col min="3" max="3" width="11" customWidth="1"/>
    <col min="4" max="4" width="10.109375" bestFit="1" customWidth="1"/>
    <col min="5" max="5" width="10.109375" customWidth="1"/>
    <col min="6" max="6" width="13.109375" bestFit="1" customWidth="1"/>
    <col min="7" max="7" width="18.5546875" bestFit="1" customWidth="1"/>
    <col min="8" max="8" width="11.6640625" bestFit="1" customWidth="1"/>
    <col min="9" max="9" width="22.5546875" customWidth="1"/>
    <col min="10" max="10" width="39.33203125" customWidth="1"/>
    <col min="11" max="11" width="12.109375" customWidth="1"/>
    <col min="12" max="13" width="21" bestFit="1" customWidth="1"/>
    <col min="15" max="15" width="21.88671875" bestFit="1" customWidth="1"/>
  </cols>
  <sheetData>
    <row r="1" spans="1:12" ht="15" thickBot="1" x14ac:dyDescent="0.35">
      <c r="A1" s="18" t="s">
        <v>14</v>
      </c>
      <c r="B1" s="19"/>
      <c r="C1" s="19"/>
      <c r="D1" s="19"/>
      <c r="E1" s="19"/>
      <c r="F1" s="19"/>
      <c r="G1" s="19"/>
      <c r="H1" s="19"/>
      <c r="I1" s="19"/>
      <c r="J1" s="20"/>
      <c r="K1" s="1"/>
      <c r="L1" s="1"/>
    </row>
    <row r="2" spans="1:12" x14ac:dyDescent="0.3">
      <c r="A2" s="10" t="s">
        <v>2</v>
      </c>
      <c r="B2" s="10" t="s">
        <v>9</v>
      </c>
      <c r="C2" s="10" t="s">
        <v>19</v>
      </c>
      <c r="D2" s="10" t="s">
        <v>20</v>
      </c>
      <c r="E2" s="10"/>
      <c r="F2" s="10"/>
    </row>
    <row r="3" spans="1:12" x14ac:dyDescent="0.3">
      <c r="A3" s="10" t="s">
        <v>0</v>
      </c>
      <c r="B3" s="10" t="s">
        <v>11</v>
      </c>
      <c r="C3" s="10"/>
      <c r="D3" s="10" t="s">
        <v>22</v>
      </c>
      <c r="E3" s="10"/>
      <c r="F3" s="10"/>
      <c r="I3" s="11"/>
    </row>
    <row r="4" spans="1:12" x14ac:dyDescent="0.3">
      <c r="A4" s="10" t="s">
        <v>1</v>
      </c>
      <c r="B4" s="10">
        <v>4.47</v>
      </c>
      <c r="C4" s="10"/>
      <c r="D4" s="10">
        <v>9.6419999999999995</v>
      </c>
      <c r="E4" s="10"/>
      <c r="F4" s="10"/>
      <c r="I4" s="10" t="s">
        <v>13</v>
      </c>
      <c r="J4" t="s">
        <v>23</v>
      </c>
    </row>
    <row r="5" spans="1:12" ht="100.8" x14ac:dyDescent="0.3">
      <c r="A5" s="10"/>
      <c r="B5" s="10"/>
      <c r="C5" s="10"/>
      <c r="D5" s="10"/>
      <c r="E5" s="10"/>
      <c r="F5" s="10"/>
      <c r="I5" s="11" t="s">
        <v>21</v>
      </c>
    </row>
    <row r="6" spans="1:12" x14ac:dyDescent="0.3">
      <c r="A6" s="10"/>
      <c r="B6" s="10"/>
      <c r="C6" s="10"/>
      <c r="D6" s="10"/>
      <c r="E6" s="10"/>
      <c r="F6" s="10"/>
    </row>
    <row r="7" spans="1:12" x14ac:dyDescent="0.3">
      <c r="A7" s="10"/>
      <c r="B7" s="10"/>
      <c r="C7" s="10"/>
      <c r="D7" s="10"/>
      <c r="E7" s="10"/>
      <c r="F7" s="10"/>
    </row>
    <row r="8" spans="1:12" x14ac:dyDescent="0.3">
      <c r="A8" s="10"/>
      <c r="B8" s="10"/>
      <c r="C8" s="10"/>
      <c r="D8" s="10"/>
      <c r="E8" s="10"/>
      <c r="F8" s="10"/>
    </row>
    <row r="10" spans="1:12" x14ac:dyDescent="0.3">
      <c r="A10" s="3" t="s">
        <v>3</v>
      </c>
      <c r="B10" s="17" t="s">
        <v>24</v>
      </c>
      <c r="C10" s="17"/>
      <c r="D10" s="17"/>
      <c r="E10" s="17"/>
      <c r="F10" s="17"/>
      <c r="G10" s="17"/>
      <c r="H10" s="17"/>
      <c r="I10" s="17"/>
      <c r="J10" s="17"/>
      <c r="K10" s="1"/>
      <c r="L10" s="1"/>
    </row>
    <row r="11" spans="1:12" ht="15" thickBot="1" x14ac:dyDescent="0.35">
      <c r="A11" s="3"/>
      <c r="B11" s="1"/>
      <c r="C11" s="1"/>
      <c r="D11" s="1"/>
      <c r="E11" s="2"/>
      <c r="F11" s="1"/>
      <c r="G11" s="9"/>
      <c r="H11" s="12"/>
      <c r="I11" s="1"/>
      <c r="J11" s="1"/>
      <c r="K11" s="1"/>
      <c r="L11" s="1"/>
    </row>
    <row r="12" spans="1:12" ht="15" thickBot="1" x14ac:dyDescent="0.35">
      <c r="A12" s="4" t="s">
        <v>4</v>
      </c>
      <c r="B12" s="5" t="s">
        <v>12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17</v>
      </c>
      <c r="H12" s="5" t="s">
        <v>16</v>
      </c>
      <c r="I12" s="5" t="s">
        <v>18</v>
      </c>
      <c r="J12" s="6" t="s">
        <v>8</v>
      </c>
    </row>
    <row r="13" spans="1:12" x14ac:dyDescent="0.3">
      <c r="A13" s="7" t="s">
        <v>26</v>
      </c>
      <c r="B13" t="s">
        <v>25</v>
      </c>
      <c r="C13">
        <v>30000</v>
      </c>
      <c r="D13">
        <v>30000</v>
      </c>
      <c r="E13" t="s">
        <v>15</v>
      </c>
      <c r="F13">
        <v>6445.59</v>
      </c>
      <c r="G13">
        <v>0.20471</v>
      </c>
      <c r="H13">
        <v>6415.7758000000003</v>
      </c>
      <c r="I13">
        <v>0.20444000000000001</v>
      </c>
      <c r="J13" s="13"/>
    </row>
    <row r="14" spans="1:12" x14ac:dyDescent="0.3">
      <c r="A14" s="7" t="s">
        <v>27</v>
      </c>
      <c r="B14" t="s">
        <v>25</v>
      </c>
      <c r="C14">
        <v>30000</v>
      </c>
      <c r="D14">
        <v>30000</v>
      </c>
      <c r="E14" t="s">
        <v>15</v>
      </c>
      <c r="F14">
        <v>6184.8</v>
      </c>
      <c r="G14">
        <v>0.21759999999999999</v>
      </c>
      <c r="H14">
        <v>6144.0501999999997</v>
      </c>
      <c r="I14">
        <v>0.20033000000000001</v>
      </c>
      <c r="J14" s="13"/>
    </row>
    <row r="15" spans="1:12" x14ac:dyDescent="0.3">
      <c r="A15" s="7" t="s">
        <v>28</v>
      </c>
      <c r="B15" t="s">
        <v>25</v>
      </c>
      <c r="C15">
        <v>30000</v>
      </c>
      <c r="D15">
        <v>30000</v>
      </c>
      <c r="E15" t="s">
        <v>15</v>
      </c>
      <c r="F15">
        <v>6788.01</v>
      </c>
      <c r="G15">
        <v>0.18992999999999999</v>
      </c>
      <c r="H15">
        <v>6701.4234999999999</v>
      </c>
      <c r="I15">
        <v>0.19302</v>
      </c>
      <c r="J15" s="13"/>
    </row>
    <row r="16" spans="1:12" x14ac:dyDescent="0.3">
      <c r="A16" s="7" t="s">
        <v>30</v>
      </c>
      <c r="B16" t="s">
        <v>29</v>
      </c>
      <c r="C16">
        <v>30000</v>
      </c>
      <c r="D16">
        <v>30000</v>
      </c>
      <c r="E16" t="s">
        <v>15</v>
      </c>
      <c r="F16">
        <v>6075.96</v>
      </c>
      <c r="G16">
        <v>0.20257</v>
      </c>
      <c r="H16">
        <v>5970.7982000000002</v>
      </c>
      <c r="I16">
        <v>0.20529</v>
      </c>
      <c r="J16" s="13"/>
    </row>
    <row r="17" spans="1:13" x14ac:dyDescent="0.3">
      <c r="A17" s="7" t="s">
        <v>31</v>
      </c>
      <c r="B17" t="s">
        <v>29</v>
      </c>
      <c r="C17">
        <v>30000</v>
      </c>
      <c r="D17">
        <v>30000</v>
      </c>
      <c r="E17" t="s">
        <v>15</v>
      </c>
      <c r="F17">
        <v>6016.86</v>
      </c>
      <c r="G17">
        <v>0.20105999999999999</v>
      </c>
      <c r="H17">
        <v>5847.9331000000002</v>
      </c>
      <c r="I17">
        <v>0.2044</v>
      </c>
      <c r="J17" s="13"/>
    </row>
    <row r="18" spans="1:13" x14ac:dyDescent="0.3">
      <c r="A18" s="7" t="s">
        <v>32</v>
      </c>
      <c r="B18" t="s">
        <v>29</v>
      </c>
      <c r="C18">
        <v>30000</v>
      </c>
      <c r="D18">
        <v>30000</v>
      </c>
      <c r="E18" t="s">
        <v>15</v>
      </c>
      <c r="F18">
        <v>6077.85</v>
      </c>
      <c r="G18">
        <v>0.20732</v>
      </c>
      <c r="H18">
        <v>5968.9089999999997</v>
      </c>
      <c r="I18">
        <v>0.20841000000000001</v>
      </c>
      <c r="J18" s="13"/>
    </row>
    <row r="19" spans="1:13" x14ac:dyDescent="0.3">
      <c r="A19" s="7" t="s">
        <v>33</v>
      </c>
      <c r="B19" t="s">
        <v>29</v>
      </c>
      <c r="C19">
        <v>30000</v>
      </c>
      <c r="D19">
        <v>30000</v>
      </c>
      <c r="E19" t="s">
        <v>15</v>
      </c>
      <c r="F19">
        <v>5649.09</v>
      </c>
      <c r="G19">
        <v>0.23874999999999999</v>
      </c>
      <c r="H19">
        <v>5590.6781000000001</v>
      </c>
      <c r="I19">
        <v>0.23780999999999999</v>
      </c>
      <c r="J19" s="8"/>
    </row>
    <row r="20" spans="1:13" x14ac:dyDescent="0.3">
      <c r="A20" s="7" t="s">
        <v>34</v>
      </c>
      <c r="B20" t="s">
        <v>29</v>
      </c>
      <c r="C20">
        <v>30000</v>
      </c>
      <c r="D20">
        <v>30000</v>
      </c>
      <c r="E20" t="s">
        <v>15</v>
      </c>
      <c r="F20">
        <v>6045.93</v>
      </c>
      <c r="G20">
        <v>0.20655000000000001</v>
      </c>
      <c r="H20">
        <v>5998.8233</v>
      </c>
      <c r="I20">
        <v>0.20776</v>
      </c>
      <c r="J20" s="8"/>
    </row>
    <row r="21" spans="1:13" x14ac:dyDescent="0.3">
      <c r="A21" s="7" t="s">
        <v>35</v>
      </c>
      <c r="B21" t="s">
        <v>29</v>
      </c>
      <c r="C21">
        <v>30000</v>
      </c>
      <c r="D21">
        <v>30000</v>
      </c>
      <c r="E21" t="s">
        <v>15</v>
      </c>
      <c r="F21">
        <v>6059.07</v>
      </c>
      <c r="G21">
        <v>0.20602999999999999</v>
      </c>
      <c r="H21">
        <v>5927.7893999999997</v>
      </c>
      <c r="I21">
        <v>0.20759</v>
      </c>
      <c r="J21" s="8"/>
    </row>
    <row r="22" spans="1:13" x14ac:dyDescent="0.3">
      <c r="A22" s="7" t="s">
        <v>36</v>
      </c>
      <c r="B22" t="s">
        <v>29</v>
      </c>
      <c r="C22">
        <v>30000</v>
      </c>
      <c r="D22">
        <v>30000</v>
      </c>
      <c r="E22" t="s">
        <v>15</v>
      </c>
      <c r="F22">
        <v>6332.07</v>
      </c>
      <c r="G22">
        <v>0.20499999999999999</v>
      </c>
      <c r="H22">
        <v>6173.1548000000003</v>
      </c>
      <c r="I22">
        <v>0.20623</v>
      </c>
      <c r="J22" s="8"/>
    </row>
    <row r="23" spans="1:13" x14ac:dyDescent="0.3">
      <c r="A23" s="7" t="s">
        <v>37</v>
      </c>
      <c r="B23" t="s">
        <v>29</v>
      </c>
      <c r="C23">
        <v>30000</v>
      </c>
      <c r="D23">
        <v>30000</v>
      </c>
      <c r="E23" t="s">
        <v>15</v>
      </c>
      <c r="F23">
        <v>5806.71</v>
      </c>
      <c r="G23">
        <v>0.20712</v>
      </c>
      <c r="H23">
        <v>5631.1342999999997</v>
      </c>
      <c r="I23">
        <v>0.20910999999999999</v>
      </c>
      <c r="J23" s="8"/>
    </row>
    <row r="24" spans="1:13" x14ac:dyDescent="0.3">
      <c r="A24" s="7" t="s">
        <v>38</v>
      </c>
      <c r="B24" t="s">
        <v>29</v>
      </c>
      <c r="C24">
        <v>30000</v>
      </c>
      <c r="D24">
        <v>30000</v>
      </c>
      <c r="E24" t="s">
        <v>15</v>
      </c>
      <c r="F24">
        <v>6134.13</v>
      </c>
      <c r="G24">
        <v>0.20526</v>
      </c>
      <c r="H24">
        <v>6014.2371999999996</v>
      </c>
      <c r="I24">
        <v>0.20673</v>
      </c>
      <c r="J24" s="8"/>
    </row>
    <row r="25" spans="1:13" x14ac:dyDescent="0.3">
      <c r="A25" s="7" t="s">
        <v>39</v>
      </c>
      <c r="B25" t="s">
        <v>29</v>
      </c>
      <c r="C25">
        <v>30000</v>
      </c>
      <c r="D25">
        <v>30000</v>
      </c>
      <c r="E25" t="s">
        <v>15</v>
      </c>
      <c r="F25">
        <v>5838.6</v>
      </c>
      <c r="G25">
        <v>0.20779</v>
      </c>
      <c r="H25">
        <v>5835.4119000000001</v>
      </c>
      <c r="I25">
        <v>0.20776</v>
      </c>
      <c r="J25" s="16" t="s">
        <v>40</v>
      </c>
    </row>
    <row r="26" spans="1:13" x14ac:dyDescent="0.3">
      <c r="A26" s="7"/>
      <c r="F26">
        <f>AVERAGE(F13:F25)/1000</f>
        <v>6.1118976923076938</v>
      </c>
      <c r="G26">
        <f>AVERAGE(G13:G25)*1000</f>
        <v>207.66846153846151</v>
      </c>
      <c r="J26" s="8"/>
    </row>
    <row r="27" spans="1:13" x14ac:dyDescent="0.3">
      <c r="A27" s="7"/>
      <c r="J27" s="8"/>
    </row>
    <row r="28" spans="1:13" x14ac:dyDescent="0.3">
      <c r="A28" s="7"/>
      <c r="J28" s="8"/>
    </row>
    <row r="29" spans="1:13" x14ac:dyDescent="0.3">
      <c r="A29" s="7"/>
      <c r="J29" s="8"/>
    </row>
    <row r="30" spans="1:13" x14ac:dyDescent="0.3">
      <c r="A30" s="7"/>
      <c r="J30" s="8"/>
    </row>
    <row r="31" spans="1:13" x14ac:dyDescent="0.3">
      <c r="A31" s="7"/>
    </row>
    <row r="32" spans="1:13" x14ac:dyDescent="0.3">
      <c r="A32" s="7"/>
      <c r="L32" s="8"/>
      <c r="M32" s="8"/>
    </row>
    <row r="33" spans="1:10" x14ac:dyDescent="0.3">
      <c r="A33" s="7"/>
      <c r="I33" s="14"/>
    </row>
    <row r="34" spans="1:10" x14ac:dyDescent="0.3">
      <c r="A34" s="7"/>
    </row>
    <row r="35" spans="1:10" x14ac:dyDescent="0.3">
      <c r="A35" s="7"/>
    </row>
    <row r="36" spans="1:10" x14ac:dyDescent="0.3">
      <c r="A36" s="7"/>
    </row>
    <row r="37" spans="1:10" x14ac:dyDescent="0.3">
      <c r="A37" s="7"/>
    </row>
    <row r="38" spans="1:10" x14ac:dyDescent="0.3">
      <c r="A38" s="7"/>
    </row>
    <row r="39" spans="1:10" x14ac:dyDescent="0.3">
      <c r="A39" s="7"/>
      <c r="J39" s="8"/>
    </row>
    <row r="40" spans="1:10" x14ac:dyDescent="0.3">
      <c r="A40" s="7"/>
    </row>
    <row r="41" spans="1:10" x14ac:dyDescent="0.3">
      <c r="A41" s="7"/>
      <c r="J41" s="8"/>
    </row>
    <row r="42" spans="1:10" x14ac:dyDescent="0.3">
      <c r="A42" s="7"/>
      <c r="J42" s="8"/>
    </row>
    <row r="43" spans="1:10" x14ac:dyDescent="0.3">
      <c r="A43" s="7"/>
      <c r="J43" s="8"/>
    </row>
    <row r="44" spans="1:10" x14ac:dyDescent="0.3">
      <c r="A44" s="7"/>
    </row>
    <row r="45" spans="1:10" x14ac:dyDescent="0.3">
      <c r="A45" s="7"/>
    </row>
    <row r="46" spans="1:10" x14ac:dyDescent="0.3">
      <c r="A46" s="7"/>
    </row>
    <row r="47" spans="1:10" x14ac:dyDescent="0.3">
      <c r="A47" s="7"/>
    </row>
    <row r="48" spans="1:10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  <row r="53" spans="1:1" x14ac:dyDescent="0.3">
      <c r="A53" s="7"/>
    </row>
    <row r="54" spans="1:1" x14ac:dyDescent="0.3">
      <c r="A54" s="7"/>
    </row>
    <row r="55" spans="1:1" x14ac:dyDescent="0.3">
      <c r="A55" s="7"/>
    </row>
    <row r="56" spans="1:1" x14ac:dyDescent="0.3">
      <c r="A56" s="7"/>
    </row>
    <row r="57" spans="1:1" x14ac:dyDescent="0.3">
      <c r="A57" s="7"/>
    </row>
    <row r="58" spans="1:1" x14ac:dyDescent="0.3">
      <c r="A58" s="7"/>
    </row>
    <row r="59" spans="1:1" x14ac:dyDescent="0.3">
      <c r="A59" s="7"/>
    </row>
    <row r="60" spans="1:1" x14ac:dyDescent="0.3">
      <c r="A60" s="7"/>
    </row>
    <row r="61" spans="1:1" x14ac:dyDescent="0.3">
      <c r="A61" s="7"/>
    </row>
    <row r="62" spans="1:1" x14ac:dyDescent="0.3">
      <c r="A62" s="7"/>
    </row>
    <row r="63" spans="1:1" x14ac:dyDescent="0.3">
      <c r="A63" s="7"/>
    </row>
    <row r="64" spans="1:1" x14ac:dyDescent="0.3">
      <c r="A64" s="7"/>
    </row>
    <row r="65" spans="1:10" x14ac:dyDescent="0.3">
      <c r="A65" s="7"/>
    </row>
    <row r="66" spans="1:10" x14ac:dyDescent="0.3">
      <c r="A66" s="7"/>
    </row>
    <row r="67" spans="1:10" x14ac:dyDescent="0.3">
      <c r="A67" s="7"/>
    </row>
    <row r="68" spans="1:10" x14ac:dyDescent="0.3">
      <c r="A68" s="7"/>
    </row>
    <row r="69" spans="1:10" x14ac:dyDescent="0.3">
      <c r="A69" s="7"/>
    </row>
    <row r="70" spans="1:10" x14ac:dyDescent="0.3">
      <c r="A70" s="7"/>
    </row>
    <row r="71" spans="1:10" x14ac:dyDescent="0.3">
      <c r="A71" s="7"/>
    </row>
    <row r="72" spans="1:10" x14ac:dyDescent="0.3">
      <c r="A72" s="7"/>
    </row>
    <row r="73" spans="1:10" x14ac:dyDescent="0.3">
      <c r="A73" s="7"/>
    </row>
    <row r="74" spans="1:10" x14ac:dyDescent="0.3">
      <c r="A74" s="7"/>
    </row>
    <row r="75" spans="1:10" x14ac:dyDescent="0.3">
      <c r="A75" s="7"/>
    </row>
    <row r="76" spans="1:10" x14ac:dyDescent="0.3">
      <c r="A76" s="7"/>
    </row>
    <row r="77" spans="1:10" x14ac:dyDescent="0.3">
      <c r="A77" s="7"/>
      <c r="J77" s="15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33A990-CACE-4235-AA0E-543961FEB0F0}"/>
</file>

<file path=customXml/itemProps2.xml><?xml version="1.0" encoding="utf-8"?>
<ds:datastoreItem xmlns:ds="http://schemas.openxmlformats.org/officeDocument/2006/customXml" ds:itemID="{709B3397-D37F-4458-95B6-0D9873A5C90E}"/>
</file>

<file path=customXml/itemProps3.xml><?xml version="1.0" encoding="utf-8"?>
<ds:datastoreItem xmlns:ds="http://schemas.openxmlformats.org/officeDocument/2006/customXml" ds:itemID="{A3B51A7B-1124-4697-975F-56FC677161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AFRL_USER</cp:lastModifiedBy>
  <dcterms:created xsi:type="dcterms:W3CDTF">2024-06-20T16:45:36Z</dcterms:created>
  <dcterms:modified xsi:type="dcterms:W3CDTF">2025-07-17T13:31:30Z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