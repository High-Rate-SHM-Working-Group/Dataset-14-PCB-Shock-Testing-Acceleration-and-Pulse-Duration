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2\m018x1_p8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16" i="1" l="1"/>
  <c r="F16" i="1"/>
</calcChain>
</file>

<file path=xl/sharedStrings.xml><?xml version="1.0" encoding="utf-8"?>
<sst xmlns="http://schemas.openxmlformats.org/spreadsheetml/2006/main" count="35" uniqueCount="31">
  <si>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</si>
  <si>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</si>
  <si>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</si>
  <si>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</si>
  <si>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</si>
  <si>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</si>
  <si>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</si>
  <si>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</si>
  <si>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</si>
  <si>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</si>
  <si>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</si>
  <si>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</si>
  <si>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</si>
  <si>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</si>
  <si>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</si>
  <si>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</si>
  <si>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</si>
  <si>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</si>
  <si>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</si>
  <si>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</si>
  <si>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</si>
  <si>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EN654</t>
  </si>
  <si>
    <t>21" / 1/16th</t>
  </si>
  <si>
    <t>t01_SET2_h21_m018-F1.txt</t>
  </si>
  <si>
    <t>Start at height: 21 in, felt: 1/8th; aim for 8500 g</t>
  </si>
  <si>
    <t>Set 2/Length 4.5/Board 02</t>
  </si>
  <si>
    <t>Base accel and board accel/resistor on the board. Meant to find # of impacts to failure at a given peak G and pulse width. Aim for 8500 G, 208 micrs</t>
  </si>
  <si>
    <t>t02_SET2_h21_m018-F1.txt</t>
  </si>
  <si>
    <t>t03_SET2_h21_m018-F1.txt</t>
  </si>
  <si>
    <t>Resistor failure</t>
  </si>
  <si>
    <t>Note: We couldn’t find a good match for both peak G and pulse width, so we went with our lower end of closest possible to hopefully get more hits to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</si>
</sst>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7" workbookViewId="0">
      <selection activeCell="J15" sqref="J15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20"/>
      <c r="K1" s="1"/>
      <c r="L1" s="1"/>
    </row>
    <row r="2" spans="1:12" x14ac:dyDescent="0.3">
      <c r="A2" s="10" t="s">
        <v>2</v>
      </c>
      <c r="B2" s="10" t="s">
        <v>9</v>
      </c>
      <c r="C2" s="10" t="s">
        <v>19</v>
      </c>
      <c r="D2" s="10" t="s">
        <v>20</v>
      </c>
      <c r="E2" s="10"/>
      <c r="F2" s="10"/>
    </row>
    <row r="3" spans="1:12" x14ac:dyDescent="0.3">
      <c r="A3" s="10" t="s">
        <v>0</v>
      </c>
      <c r="B3" s="10" t="s">
        <v>11</v>
      </c>
      <c r="C3" s="10"/>
      <c r="D3" s="10" t="s">
        <v>21</v>
      </c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>
        <v>9.8699999999999992</v>
      </c>
      <c r="E4" s="10"/>
      <c r="F4" s="10"/>
      <c r="I4" s="10" t="s">
        <v>13</v>
      </c>
      <c r="J4" t="s">
        <v>25</v>
      </c>
    </row>
    <row r="5" spans="1:12" ht="100.8" x14ac:dyDescent="0.3">
      <c r="A5" s="10"/>
      <c r="B5" s="10"/>
      <c r="C5" s="10"/>
      <c r="D5" s="10"/>
      <c r="E5" s="10"/>
      <c r="F5" s="10"/>
      <c r="I5" s="11" t="s">
        <v>26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7" t="s">
        <v>24</v>
      </c>
      <c r="C10" s="17"/>
      <c r="D10" s="17"/>
      <c r="E10" s="17"/>
      <c r="F10" s="17"/>
      <c r="G10" s="17"/>
      <c r="H10" s="17"/>
      <c r="I10" s="17"/>
      <c r="J10" s="17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12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17</v>
      </c>
      <c r="H12" s="5" t="s">
        <v>16</v>
      </c>
      <c r="I12" s="5" t="s">
        <v>18</v>
      </c>
      <c r="J12" s="6" t="s">
        <v>8</v>
      </c>
    </row>
    <row r="13" spans="1:12" x14ac:dyDescent="0.3">
      <c r="A13" s="7" t="s">
        <v>23</v>
      </c>
      <c r="B13" t="s">
        <v>22</v>
      </c>
      <c r="C13">
        <v>30000</v>
      </c>
      <c r="D13">
        <v>30000</v>
      </c>
      <c r="E13" t="s">
        <v>15</v>
      </c>
      <c r="F13">
        <v>8945.76</v>
      </c>
      <c r="G13">
        <v>0.19131000000000001</v>
      </c>
      <c r="H13">
        <v>8675.3351999999995</v>
      </c>
      <c r="I13">
        <v>0.23880000000000001</v>
      </c>
      <c r="J13" s="13"/>
    </row>
    <row r="14" spans="1:12" x14ac:dyDescent="0.3">
      <c r="A14" s="7" t="s">
        <v>27</v>
      </c>
      <c r="B14" t="s">
        <v>22</v>
      </c>
      <c r="C14">
        <v>30000</v>
      </c>
      <c r="D14">
        <v>30000</v>
      </c>
      <c r="E14" t="s">
        <v>15</v>
      </c>
      <c r="F14">
        <v>8687.76</v>
      </c>
      <c r="G14">
        <v>0.18276000000000001</v>
      </c>
      <c r="H14">
        <v>8510.7949000000008</v>
      </c>
      <c r="I14">
        <v>0.24651000000000001</v>
      </c>
      <c r="J14" s="13"/>
    </row>
    <row r="15" spans="1:12" x14ac:dyDescent="0.3">
      <c r="A15" s="7" t="s">
        <v>28</v>
      </c>
      <c r="B15" t="s">
        <v>22</v>
      </c>
      <c r="C15">
        <v>30000</v>
      </c>
      <c r="D15">
        <v>30000</v>
      </c>
      <c r="E15" t="s">
        <v>15</v>
      </c>
      <c r="F15">
        <v>8941.08</v>
      </c>
      <c r="G15">
        <v>0.18182000000000001</v>
      </c>
      <c r="H15">
        <v>8640.0205000000005</v>
      </c>
      <c r="I15">
        <v>0.24732999999999999</v>
      </c>
      <c r="J15" s="16" t="s">
        <v>29</v>
      </c>
    </row>
    <row r="16" spans="1:12" x14ac:dyDescent="0.3">
      <c r="A16" s="7"/>
      <c r="F16">
        <f>AVERAGE(F13:F15)/1000</f>
        <v>8.8581999999999983</v>
      </c>
      <c r="G16">
        <f>AVERAGE(G13:G15)*1000</f>
        <v>185.29666666666665</v>
      </c>
      <c r="J16" s="13"/>
    </row>
    <row r="17" spans="1:13" x14ac:dyDescent="0.3">
      <c r="A17" s="7"/>
      <c r="J17" s="13"/>
    </row>
    <row r="18" spans="1:13" x14ac:dyDescent="0.3">
      <c r="A18" s="7"/>
      <c r="G18" t="s">
        <v>30</v>
      </c>
      <c r="J18" s="13"/>
    </row>
    <row r="19" spans="1:13" x14ac:dyDescent="0.3">
      <c r="A19" s="7"/>
      <c r="J19" s="8"/>
    </row>
    <row r="20" spans="1:13" x14ac:dyDescent="0.3">
      <c r="A20" s="7"/>
      <c r="J20" s="8"/>
    </row>
    <row r="21" spans="1:13" x14ac:dyDescent="0.3">
      <c r="A21" s="7"/>
      <c r="J21" s="8"/>
    </row>
    <row r="22" spans="1:13" x14ac:dyDescent="0.3">
      <c r="A22" s="7"/>
      <c r="J22" s="8"/>
    </row>
    <row r="23" spans="1:13" x14ac:dyDescent="0.3">
      <c r="A23" s="7"/>
      <c r="J23" s="8"/>
    </row>
    <row r="24" spans="1:13" x14ac:dyDescent="0.3">
      <c r="A24" s="7"/>
      <c r="J24" s="8"/>
    </row>
    <row r="25" spans="1:13" x14ac:dyDescent="0.3">
      <c r="A25" s="7"/>
      <c r="J25" s="8"/>
    </row>
    <row r="26" spans="1:13" x14ac:dyDescent="0.3">
      <c r="A26" s="7"/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7CAAA3-C2E7-48D1-B0F8-4B3A3A1CFCCE}"/>
</file>

<file path=customXml/itemProps2.xml><?xml version="1.0" encoding="utf-8"?>
<ds:datastoreItem xmlns:ds="http://schemas.openxmlformats.org/officeDocument/2006/customXml" ds:itemID="{96CE7E8F-5227-4FEB-8B24-0FDC3690F4ED}"/>
</file>

<file path=customXml/itemProps3.xml><?xml version="1.0" encoding="utf-8"?>
<ds:datastoreItem xmlns:ds="http://schemas.openxmlformats.org/officeDocument/2006/customXml" ds:itemID="{4201D6C8-3C1F-421A-9185-C883306DB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2025-07-15T13:52:50Z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