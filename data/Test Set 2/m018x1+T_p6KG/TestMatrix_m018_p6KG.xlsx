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2\m018x1+T_p6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19" i="1" l="1"/>
  <c r="F19" i="1"/>
</calcChain>
</file>

<file path=xl/sharedStrings.xml><?xml version="1.0" encoding="utf-8"?>
<sst xmlns="http://schemas.openxmlformats.org/spreadsheetml/2006/main" count="43" uniqueCount="35">
  <si>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</si>
  <si>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</si>
  <si>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</si>
  <si>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</si>
  <si>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</si>
  <si>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</si>
  <si>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</si>
  <si>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</si>
  <si>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</si>
  <si>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</si>
  <si>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</si>
  <si>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</si>
  <si>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</si>
  <si>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</si>
  <si>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</si>
  <si>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</si>
  <si>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</si>
  <si>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</si>
  <si>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</si>
  <si>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</si>
  <si>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</si>
  <si>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19" / 1/8th + T</t>
  </si>
  <si>
    <t>t01_SET2_h19_m018T-F1.txt</t>
  </si>
  <si>
    <t>t05_SET2_h19_m018T-F1.txt</t>
  </si>
  <si>
    <t>t06_SET2_h19_m018T-F1.txt</t>
  </si>
  <si>
    <t>Start at height: 19 in, felt: 1/8th; aim for 6000 g</t>
  </si>
  <si>
    <t>Set 2/Length 4.5/Board 05</t>
  </si>
  <si>
    <t>Base accel and board accel/resistor on the board. Meant to find # of impacts to failure at a given peak G and pulse width. Aim for 6000 G, 220 micrs</t>
  </si>
  <si>
    <t>EN343</t>
  </si>
  <si>
    <t>18.5" / 1/8th + T</t>
  </si>
  <si>
    <t>t02_SET2_h18_m018T-F1.txt</t>
  </si>
  <si>
    <t>t03_SET2_h18_m018T-F1.txt</t>
  </si>
  <si>
    <t>t04_SET2_h18_m018T-F1.txt</t>
  </si>
  <si>
    <t>18" / 1/8th + T</t>
  </si>
  <si>
    <t>Resistor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</si>
</sst>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7" workbookViewId="0">
      <selection activeCell="G24" sqref="G24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20"/>
      <c r="K1" s="1"/>
      <c r="L1" s="1"/>
    </row>
    <row r="2" spans="1:12" x14ac:dyDescent="0.3">
      <c r="A2" s="10" t="s">
        <v>2</v>
      </c>
      <c r="B2" s="10" t="s">
        <v>9</v>
      </c>
      <c r="C2" s="10" t="s">
        <v>19</v>
      </c>
      <c r="D2" s="10" t="s">
        <v>20</v>
      </c>
      <c r="E2" s="10"/>
      <c r="F2" s="10"/>
    </row>
    <row r="3" spans="1:12" x14ac:dyDescent="0.3">
      <c r="A3" s="10" t="s">
        <v>0</v>
      </c>
      <c r="B3" s="10" t="s">
        <v>11</v>
      </c>
      <c r="C3" s="10"/>
      <c r="D3" s="10" t="s">
        <v>28</v>
      </c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>
        <v>2.145</v>
      </c>
      <c r="E4" s="10"/>
      <c r="F4" s="10"/>
      <c r="I4" s="10" t="s">
        <v>13</v>
      </c>
      <c r="J4" t="s">
        <v>26</v>
      </c>
    </row>
    <row r="5" spans="1:12" ht="100.8" x14ac:dyDescent="0.3">
      <c r="A5" s="10"/>
      <c r="B5" s="10"/>
      <c r="C5" s="10"/>
      <c r="D5" s="10"/>
      <c r="E5" s="10"/>
      <c r="F5" s="10"/>
      <c r="I5" s="11" t="s">
        <v>27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7" t="s">
        <v>25</v>
      </c>
      <c r="C10" s="17"/>
      <c r="D10" s="17"/>
      <c r="E10" s="17"/>
      <c r="F10" s="17"/>
      <c r="G10" s="17"/>
      <c r="H10" s="17"/>
      <c r="I10" s="17"/>
      <c r="J10" s="17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12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17</v>
      </c>
      <c r="H12" s="5" t="s">
        <v>16</v>
      </c>
      <c r="I12" s="5" t="s">
        <v>18</v>
      </c>
      <c r="J12" s="6" t="s">
        <v>8</v>
      </c>
    </row>
    <row r="13" spans="1:12" x14ac:dyDescent="0.3">
      <c r="A13" s="7" t="s">
        <v>22</v>
      </c>
      <c r="B13" t="s">
        <v>21</v>
      </c>
      <c r="C13">
        <v>30000</v>
      </c>
      <c r="D13">
        <v>30000</v>
      </c>
      <c r="E13" t="s">
        <v>15</v>
      </c>
      <c r="F13">
        <v>6657.6</v>
      </c>
      <c r="G13">
        <v>0.20347999999999999</v>
      </c>
      <c r="H13">
        <v>6604.7808000000005</v>
      </c>
      <c r="I13">
        <v>0.20615</v>
      </c>
      <c r="J13" s="13"/>
    </row>
    <row r="14" spans="1:12" x14ac:dyDescent="0.3">
      <c r="A14" s="7" t="s">
        <v>30</v>
      </c>
      <c r="B14" t="s">
        <v>29</v>
      </c>
      <c r="C14">
        <v>30000</v>
      </c>
      <c r="D14">
        <v>30000</v>
      </c>
      <c r="E14" t="s">
        <v>15</v>
      </c>
      <c r="F14">
        <v>6405.24</v>
      </c>
      <c r="G14">
        <v>0.20075000000000001</v>
      </c>
      <c r="H14">
        <v>6374.7861999999996</v>
      </c>
      <c r="I14">
        <v>0.20038</v>
      </c>
      <c r="J14" s="13"/>
    </row>
    <row r="15" spans="1:12" x14ac:dyDescent="0.3">
      <c r="A15" s="7" t="s">
        <v>31</v>
      </c>
      <c r="B15" t="s">
        <v>33</v>
      </c>
      <c r="C15">
        <v>30000</v>
      </c>
      <c r="D15">
        <v>30000</v>
      </c>
      <c r="E15" t="s">
        <v>15</v>
      </c>
      <c r="F15">
        <v>5726.04</v>
      </c>
      <c r="G15">
        <v>0.21692</v>
      </c>
      <c r="H15">
        <v>5689.4485000000004</v>
      </c>
      <c r="I15">
        <v>0.219</v>
      </c>
      <c r="J15" s="13"/>
    </row>
    <row r="16" spans="1:12" x14ac:dyDescent="0.3">
      <c r="A16" s="7" t="s">
        <v>32</v>
      </c>
      <c r="B16" t="s">
        <v>33</v>
      </c>
      <c r="C16">
        <v>30000</v>
      </c>
      <c r="D16">
        <v>30000</v>
      </c>
      <c r="E16" t="s">
        <v>15</v>
      </c>
      <c r="F16">
        <v>5763.57</v>
      </c>
      <c r="G16">
        <v>0.21537000000000001</v>
      </c>
      <c r="H16">
        <v>5748.1004000000003</v>
      </c>
      <c r="I16">
        <v>0.21376999999999999</v>
      </c>
      <c r="J16" s="13"/>
    </row>
    <row r="17" spans="1:13" x14ac:dyDescent="0.3">
      <c r="A17" s="7" t="s">
        <v>23</v>
      </c>
      <c r="B17" t="s">
        <v>33</v>
      </c>
      <c r="C17">
        <v>30000</v>
      </c>
      <c r="D17">
        <v>30000</v>
      </c>
      <c r="E17" t="s">
        <v>15</v>
      </c>
      <c r="F17">
        <v>5805.78</v>
      </c>
      <c r="G17">
        <v>0.21514</v>
      </c>
      <c r="H17">
        <v>5779.0702000000001</v>
      </c>
      <c r="I17">
        <v>0.21399000000000001</v>
      </c>
      <c r="J17" s="13"/>
    </row>
    <row r="18" spans="1:13" x14ac:dyDescent="0.3">
      <c r="A18" s="7" t="s">
        <v>24</v>
      </c>
      <c r="B18" t="s">
        <v>33</v>
      </c>
      <c r="C18">
        <v>30000</v>
      </c>
      <c r="D18">
        <v>30000</v>
      </c>
      <c r="E18" t="s">
        <v>15</v>
      </c>
      <c r="F18">
        <v>5914.59</v>
      </c>
      <c r="G18">
        <v>0.21790999999999999</v>
      </c>
      <c r="H18">
        <v>5870.4633000000003</v>
      </c>
      <c r="I18">
        <v>0.21725</v>
      </c>
      <c r="J18" s="16" t="s">
        <v>34</v>
      </c>
    </row>
    <row r="19" spans="1:13" x14ac:dyDescent="0.3">
      <c r="A19" s="7"/>
      <c r="F19">
        <f>AVERAGE(F13:F18)/1000</f>
        <v>6.0454699999999999</v>
      </c>
      <c r="G19">
        <f>AVERAGE(G13:G18)*1000</f>
        <v>211.595</v>
      </c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13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E66201-F6E1-4FB8-8DD2-3088CCEC82AA}"/>
</file>

<file path=customXml/itemProps2.xml><?xml version="1.0" encoding="utf-8"?>
<ds:datastoreItem xmlns:ds="http://schemas.openxmlformats.org/officeDocument/2006/customXml" ds:itemID="{10C2F44E-63EF-4A7B-81F2-83AE1B58E4EE}"/>
</file>

<file path=customXml/itemProps3.xml><?xml version="1.0" encoding="utf-8"?>
<ds:datastoreItem xmlns:ds="http://schemas.openxmlformats.org/officeDocument/2006/customXml" ds:itemID="{FEF33F38-4209-4C54-8CE6-160FAA64D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2025-07-21T12:24:15Z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