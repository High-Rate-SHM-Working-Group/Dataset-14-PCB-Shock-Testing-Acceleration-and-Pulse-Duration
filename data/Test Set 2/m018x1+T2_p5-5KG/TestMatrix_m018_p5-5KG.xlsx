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32595" windowHeight="1513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12" i="1" l="1"/>
  <c r="K12" i="1"/>
</calcChain>
</file>

<file path=xl/sharedStrings.xml><?xml version="1.0" encoding="utf-8"?>
<sst xmlns="http://schemas.openxmlformats.org/spreadsheetml/2006/main" count="267" uniqueCount="112">
  <si>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</si>
  <si>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</si>
  <si>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</si>
  <si>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</si>
  <si>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</si>
  <si>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</si>
  <si>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</si>
  <si>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</si>
  <si>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</si>
  <si>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</si>
  <si>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</si>
  <si>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</si>
  <si>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</si>
  <si>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</si>
  <si>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</si>
  <si>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</si>
  <si>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</si>
  <si>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</si>
  <si>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</si>
  <si>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Board Accel</t>
  </si>
  <si>
    <t>72-20k</t>
  </si>
  <si>
    <t>Set 2/Length 4.5/Board 05</t>
  </si>
  <si>
    <t>Base accel and board accel/resistor on the board. Meant to find # of impacts to failure at a given peak G and pulse width. Aim for 6000 G, 220 micrs</t>
  </si>
  <si>
    <t>EN343</t>
  </si>
  <si>
    <t>Start at height: 17.5 in, felt: 1/8th + 2 Tape layers; aim for 5500 g</t>
  </si>
  <si>
    <t>17.5" / 1/8th + 2T</t>
  </si>
  <si>
    <t>t01_SET2_h17_m018T2-F1.txt</t>
  </si>
  <si>
    <t>t02_SET2_h17_m018T2-F1.txt</t>
  </si>
  <si>
    <t>t03_SET2_h17_m018T2-F1.txt</t>
  </si>
  <si>
    <t>t04_SET2_h17_m018T2-F1.txt</t>
  </si>
  <si>
    <t>t05_SET2_h17_m018T2-F1.txt</t>
  </si>
  <si>
    <t>t06_SET2_h17_m018T2-F1.txt</t>
  </si>
  <si>
    <t>t07_SET2_h17_m018T2-F1.txt</t>
  </si>
  <si>
    <t>t08_SET2_h17_m018T2-F1.txt</t>
  </si>
  <si>
    <t>t09_SET2_h17_m018T2-F1.txt</t>
  </si>
  <si>
    <t>t10_SET2_h17_m018T2-F1.txt</t>
  </si>
  <si>
    <t>t11_SET2_h17_m018T2-F1.txt</t>
  </si>
  <si>
    <t>t12_SET2_h17_m018T2-F1.txt</t>
  </si>
  <si>
    <t>t13_SET2_h17_m018T2-F1.txt</t>
  </si>
  <si>
    <t>t14_SET2_h17_m018T2-F1.txt</t>
  </si>
  <si>
    <t>t15_SET2_h17_m018T2-F1.txt</t>
  </si>
  <si>
    <t>17" / 1/8th + 2T</t>
  </si>
  <si>
    <t>16.5" / 1/8th + 2T</t>
  </si>
  <si>
    <t>t16_SET2_h16_m018T2-F1.txt</t>
  </si>
  <si>
    <t>t17_SET2_h16_m018T2-F1.txt</t>
  </si>
  <si>
    <t>t18_SET2_h16_m018T2-F1.txt</t>
  </si>
  <si>
    <t>t19_SET2_h16_m018T2-F1.txt</t>
  </si>
  <si>
    <t>t20_SET2_h16_m018T2-F1.txt</t>
  </si>
  <si>
    <t>t21_SET2_h16_m018T2-F1.txt</t>
  </si>
  <si>
    <t>t22_SET2_h16_m018T2-F1.txt</t>
  </si>
  <si>
    <t>t23_SET2_h16_m018T2-F1.txt</t>
  </si>
  <si>
    <t>t24_SET2_h16_m018T2-F1.txt</t>
  </si>
  <si>
    <t>t25_SET2_h16_m018T2-F1.txt</t>
  </si>
  <si>
    <t>16" / 1/8th + 2T</t>
  </si>
  <si>
    <t>t26_SET2_h16_m018T2-F1.txt</t>
  </si>
  <si>
    <t>t27_SET2_h16_m018T2-F1.txt</t>
  </si>
  <si>
    <t>t28_SET2_h16_m018T2-F1.txt</t>
  </si>
  <si>
    <t>t29_SET2_h16_m018T2-F1.txt</t>
  </si>
  <si>
    <t>t30_SET2_h16_m018T2-F1.txt</t>
  </si>
  <si>
    <t>t31_SET2_h16_m018T2-F1.txt</t>
  </si>
  <si>
    <t>t32_SET2_h16_m018T2-F1.txt</t>
  </si>
  <si>
    <t>t33_SET2_h16_m018T2-F1.txt</t>
  </si>
  <si>
    <t>t34_SET2_h16_m018T2-F1.txt</t>
  </si>
  <si>
    <t>t35_SET2_h16_m018T2-F1.txt</t>
  </si>
  <si>
    <t>t36_SET2_h16_m018T2-F1.txt</t>
  </si>
  <si>
    <t>t37_SET2_h16_m018T2-F1.txt</t>
  </si>
  <si>
    <t>t38_SET2_h16_m018T2-F1.txt</t>
  </si>
  <si>
    <t>t39_SET2_h16_m018T2-F1.txt</t>
  </si>
  <si>
    <t>t40_SET2_h16_m018T2-F1.txt</t>
  </si>
  <si>
    <t>t41_SET2_h16_m018T2-F1.txt</t>
  </si>
  <si>
    <t>t42_SET2_h16_m018T2-F1.txt</t>
  </si>
  <si>
    <t>t43_SET2_h16_m018T2-F1.txt</t>
  </si>
  <si>
    <t>t44_SET2_h16_m018T2-F1.txt</t>
  </si>
  <si>
    <t>t45_SET2_h16_m018T2-F1.txt</t>
  </si>
  <si>
    <t>t46_SET2_h16_m018T2-F1.txt</t>
  </si>
  <si>
    <t>t47_SET2_h16_m018T2-F1.txt</t>
  </si>
  <si>
    <t>t48_SET2_h16_m018T2-F1.txt</t>
  </si>
  <si>
    <t>t49_SET2_h16_m018T2-F1.txt</t>
  </si>
  <si>
    <t>t50_SET2_h16_m018T2-F1.txt</t>
  </si>
  <si>
    <t>t51_SET2_h16_m018T2-F1.txt</t>
  </si>
  <si>
    <t>t52_SET2_h16_m018T2-F1.txt</t>
  </si>
  <si>
    <t>t53_SET2_h16_m018T2-F1.txt</t>
  </si>
  <si>
    <t>t54_SET2_h16_m018T2-F1.txt</t>
  </si>
  <si>
    <t>t55_SET2_h16_m018T2-F1.txt</t>
  </si>
  <si>
    <t>t56_SET2_h16_m018T2-F1.txt</t>
  </si>
  <si>
    <t>t57_SET2_h16_m018T2-F1.txt</t>
  </si>
  <si>
    <t>t58_SET2_h16_m018T2-F1.txt</t>
  </si>
  <si>
    <t>t59_SET2_h16_m018T2-F1.txt</t>
  </si>
  <si>
    <t>t60_SET2_h16_m018T2-F1.txt</t>
  </si>
  <si>
    <t>t61_SET2_h16_m018T2-F1.txt</t>
  </si>
  <si>
    <t>t62_SET2_h16_m018T2-F1.txt</t>
  </si>
  <si>
    <t>t63_SET2_h16_m018T2-F1.txt</t>
  </si>
  <si>
    <t>t64_SET2_h16_m018T2-F1.txt</t>
  </si>
  <si>
    <t>t65_SET2_h16_m018T2-F1.txt</t>
  </si>
  <si>
    <t>t66_SET2_h16_m018T2-F1.txt</t>
  </si>
  <si>
    <t>t67_SET2_h16_m018T2-F1.txt</t>
  </si>
  <si>
    <t>t68_SET2_h16_m018T2-F1.txt</t>
  </si>
  <si>
    <t>t69_SET2_h16_m018T2-F1.txt</t>
  </si>
  <si>
    <t>t70_SET2_h16_m018T2-F1.txt</t>
  </si>
  <si>
    <t>t71_SET2_h16_m018T2-F1.txt</t>
  </si>
  <si>
    <t>t72_SET2_h16_m018T2-F1.txt</t>
  </si>
  <si>
    <t>t73_SET2_h16_m018T2-F1.txt</t>
  </si>
  <si>
    <t>t74_SET2_h16_m018T2-F1.txt</t>
  </si>
  <si>
    <t>t75_SET2_h16_m018T2-F1.txt</t>
  </si>
  <si>
    <t>t76_SET2_h16_m018T2-F1.txt</t>
  </si>
  <si>
    <t>t77_SET2_h16_m018T2-F1.txt</t>
  </si>
  <si>
    <t>t78_SET2_h16_m018T2-F1.txt</t>
  </si>
  <si>
    <t>t79_SET2_h16_m018T2-F1.txt</t>
  </si>
  <si>
    <t>t80_SET2_h16_m018T2-F1.txt</t>
  </si>
  <si>
    <t>Post-Test Note:</t>
  </si>
  <si>
    <t>OUTLIER</t>
  </si>
  <si>
    <t>When soldering this resistor, had to take 2 passes with heat gun because first pass didn't 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</si>
</sst>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/>
    <xf numFmtId="0" fontId="2" fillId="2" borderId="0" xfId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abSelected="1" topLeftCell="A4" workbookViewId="0">
      <selection activeCell="D8" sqref="D8"/>
    </sheetView>
  </sheetViews>
  <sheetFormatPr defaultRowHeight="15" x14ac:dyDescent="0.25"/>
  <cols>
    <col min="1" max="1" width="29.28515625" bestFit="1" customWidth="1"/>
    <col min="2" max="2" width="16" bestFit="1" customWidth="1"/>
    <col min="3" max="3" width="11" customWidth="1"/>
    <col min="4" max="4" width="10.140625" bestFit="1" customWidth="1"/>
    <col min="5" max="5" width="10.140625" customWidth="1"/>
    <col min="6" max="6" width="13.140625" bestFit="1" customWidth="1"/>
    <col min="7" max="7" width="18.5703125" bestFit="1" customWidth="1"/>
    <col min="8" max="8" width="11.7109375" bestFit="1" customWidth="1"/>
    <col min="9" max="9" width="22.5703125" customWidth="1"/>
    <col min="10" max="10" width="39.28515625" customWidth="1"/>
    <col min="11" max="11" width="12.140625" customWidth="1"/>
    <col min="12" max="13" width="21" bestFit="1" customWidth="1"/>
    <col min="15" max="15" width="21.85546875" bestFit="1" customWidth="1"/>
  </cols>
  <sheetData>
    <row r="1" spans="1:12" ht="15.75" thickBot="1" x14ac:dyDescent="0.3">
      <c r="A1" s="13" t="s">
        <v>14</v>
      </c>
      <c r="B1" s="14"/>
      <c r="C1" s="14"/>
      <c r="D1" s="14"/>
      <c r="E1" s="14"/>
      <c r="F1" s="14"/>
      <c r="G1" s="14"/>
      <c r="H1" s="14"/>
      <c r="I1" s="14"/>
      <c r="J1" s="15"/>
      <c r="K1" s="1"/>
      <c r="L1" s="1"/>
    </row>
    <row r="2" spans="1:12" x14ac:dyDescent="0.25">
      <c r="A2" s="8" t="s">
        <v>2</v>
      </c>
      <c r="B2" s="8" t="s">
        <v>9</v>
      </c>
      <c r="C2" s="8" t="s">
        <v>19</v>
      </c>
      <c r="D2" s="8" t="s">
        <v>20</v>
      </c>
      <c r="E2" s="8"/>
      <c r="F2" s="8"/>
    </row>
    <row r="3" spans="1:12" x14ac:dyDescent="0.25">
      <c r="A3" s="8" t="s">
        <v>0</v>
      </c>
      <c r="B3" s="8" t="s">
        <v>11</v>
      </c>
      <c r="C3" s="8"/>
      <c r="D3" s="8" t="s">
        <v>23</v>
      </c>
      <c r="E3" s="8"/>
      <c r="F3" s="8"/>
      <c r="I3" s="9"/>
    </row>
    <row r="4" spans="1:12" x14ac:dyDescent="0.25">
      <c r="A4" s="8" t="s">
        <v>1</v>
      </c>
      <c r="B4" s="8">
        <v>4.47</v>
      </c>
      <c r="C4" s="8"/>
      <c r="D4" s="8">
        <v>2.145</v>
      </c>
      <c r="E4" s="8"/>
      <c r="F4" s="8"/>
      <c r="I4" s="8" t="s">
        <v>13</v>
      </c>
      <c r="J4" t="s">
        <v>21</v>
      </c>
    </row>
    <row r="5" spans="1:12" ht="105" x14ac:dyDescent="0.25">
      <c r="A5" s="8"/>
      <c r="B5" s="8"/>
      <c r="C5" s="8"/>
      <c r="D5" s="8"/>
      <c r="E5" s="8"/>
      <c r="F5" s="8"/>
      <c r="I5" s="9" t="s">
        <v>22</v>
      </c>
    </row>
    <row r="6" spans="1:12" x14ac:dyDescent="0.25">
      <c r="A6" s="8"/>
      <c r="B6" s="8"/>
      <c r="C6" s="8"/>
      <c r="D6" s="8"/>
      <c r="E6" s="8"/>
      <c r="F6" s="8"/>
    </row>
    <row r="7" spans="1:12" x14ac:dyDescent="0.25">
      <c r="A7" s="8"/>
      <c r="B7" s="8"/>
      <c r="C7" s="8"/>
      <c r="D7" s="8"/>
      <c r="E7" s="8"/>
      <c r="F7" s="8"/>
    </row>
    <row r="8" spans="1:12" x14ac:dyDescent="0.25">
      <c r="A8" s="8"/>
      <c r="B8" s="8"/>
      <c r="C8" s="8"/>
      <c r="D8" s="8"/>
      <c r="E8" s="8"/>
      <c r="F8" s="8"/>
    </row>
    <row r="10" spans="1:12" x14ac:dyDescent="0.25">
      <c r="A10" s="2" t="s">
        <v>3</v>
      </c>
      <c r="B10" s="12" t="s">
        <v>24</v>
      </c>
      <c r="C10" s="12"/>
      <c r="D10" s="12"/>
      <c r="E10" s="12"/>
      <c r="F10" s="12"/>
      <c r="G10" s="12"/>
      <c r="H10" s="12"/>
      <c r="I10" s="12"/>
      <c r="J10" s="12"/>
      <c r="K10" s="1"/>
      <c r="L10" s="1"/>
    </row>
    <row r="11" spans="1:12" ht="15.75" thickBot="1" x14ac:dyDescent="0.3">
      <c r="A11" s="2" t="s">
        <v>109</v>
      </c>
      <c r="B11" s="17" t="s">
        <v>110</v>
      </c>
      <c r="C11" s="18" t="s">
        <v>111</v>
      </c>
      <c r="D11" s="18"/>
      <c r="E11" s="18"/>
      <c r="F11" s="18"/>
      <c r="G11" s="18"/>
      <c r="H11" s="18"/>
      <c r="I11" s="18"/>
      <c r="J11" s="18"/>
      <c r="K11" s="1"/>
      <c r="L11" s="1"/>
    </row>
    <row r="12" spans="1:12" ht="15.75" thickBot="1" x14ac:dyDescent="0.3">
      <c r="A12" s="3" t="s">
        <v>4</v>
      </c>
      <c r="B12" s="4" t="s">
        <v>12</v>
      </c>
      <c r="C12" s="4" t="s">
        <v>6</v>
      </c>
      <c r="D12" s="4" t="s">
        <v>7</v>
      </c>
      <c r="E12" s="4" t="s">
        <v>5</v>
      </c>
      <c r="F12" s="4" t="s">
        <v>10</v>
      </c>
      <c r="G12" s="4" t="s">
        <v>17</v>
      </c>
      <c r="H12" s="4" t="s">
        <v>16</v>
      </c>
      <c r="I12" s="4" t="s">
        <v>18</v>
      </c>
      <c r="J12" s="5" t="s">
        <v>8</v>
      </c>
      <c r="K12">
        <f>AVERAGE(F13:F150)/1000</f>
        <v>5.6275872499999986</v>
      </c>
      <c r="L12">
        <f>AVERAGE(G13:G150)*1000</f>
        <v>216.03612499999994</v>
      </c>
    </row>
    <row r="13" spans="1:12" x14ac:dyDescent="0.25">
      <c r="A13" s="6" t="s">
        <v>26</v>
      </c>
      <c r="B13" t="s">
        <v>25</v>
      </c>
      <c r="C13">
        <v>30000</v>
      </c>
      <c r="D13">
        <v>30000</v>
      </c>
      <c r="E13" t="s">
        <v>15</v>
      </c>
      <c r="F13">
        <v>5787</v>
      </c>
      <c r="G13">
        <v>0.19491</v>
      </c>
      <c r="H13">
        <v>5742.7750999999998</v>
      </c>
      <c r="I13">
        <v>0.1948</v>
      </c>
      <c r="J13" s="10"/>
    </row>
    <row r="14" spans="1:12" x14ac:dyDescent="0.25">
      <c r="A14" s="6" t="s">
        <v>27</v>
      </c>
      <c r="B14" t="s">
        <v>41</v>
      </c>
      <c r="C14">
        <v>30000</v>
      </c>
      <c r="D14">
        <v>30000</v>
      </c>
      <c r="E14" t="s">
        <v>15</v>
      </c>
      <c r="F14">
        <v>5427.69</v>
      </c>
      <c r="G14">
        <v>0.23100000000000001</v>
      </c>
      <c r="H14">
        <v>5418.8608999999997</v>
      </c>
      <c r="I14">
        <v>0.23183000000000001</v>
      </c>
      <c r="J14" s="10"/>
    </row>
    <row r="15" spans="1:12" x14ac:dyDescent="0.25">
      <c r="A15" s="6" t="s">
        <v>28</v>
      </c>
      <c r="B15" t="s">
        <v>41</v>
      </c>
      <c r="C15">
        <v>30000</v>
      </c>
      <c r="D15">
        <v>30000</v>
      </c>
      <c r="E15" t="s">
        <v>15</v>
      </c>
      <c r="F15">
        <v>5607.81</v>
      </c>
      <c r="G15">
        <v>0.22936000000000001</v>
      </c>
      <c r="H15">
        <v>5543.6832000000004</v>
      </c>
      <c r="I15">
        <v>0.23039000000000001</v>
      </c>
      <c r="J15" s="10"/>
    </row>
    <row r="16" spans="1:12" x14ac:dyDescent="0.25">
      <c r="A16" s="6" t="s">
        <v>29</v>
      </c>
      <c r="B16" t="s">
        <v>41</v>
      </c>
      <c r="C16">
        <v>30000</v>
      </c>
      <c r="D16">
        <v>30000</v>
      </c>
      <c r="E16" t="s">
        <v>15</v>
      </c>
      <c r="F16">
        <v>5566.56</v>
      </c>
      <c r="G16">
        <v>0.22569</v>
      </c>
      <c r="H16">
        <v>5517.4087</v>
      </c>
      <c r="I16">
        <v>0.22444</v>
      </c>
      <c r="J16" s="10"/>
    </row>
    <row r="17" spans="1:13" x14ac:dyDescent="0.25">
      <c r="A17" s="6" t="s">
        <v>30</v>
      </c>
      <c r="B17" t="s">
        <v>41</v>
      </c>
      <c r="C17">
        <v>30000</v>
      </c>
      <c r="D17">
        <v>30000</v>
      </c>
      <c r="E17" t="s">
        <v>15</v>
      </c>
      <c r="F17">
        <v>5504.64</v>
      </c>
      <c r="G17">
        <v>0.22749</v>
      </c>
      <c r="H17">
        <v>5454.7383</v>
      </c>
      <c r="I17">
        <v>0.22725999999999999</v>
      </c>
      <c r="J17" s="10"/>
    </row>
    <row r="18" spans="1:13" x14ac:dyDescent="0.25">
      <c r="A18" s="6" t="s">
        <v>31</v>
      </c>
      <c r="B18" t="s">
        <v>41</v>
      </c>
      <c r="C18">
        <v>30000</v>
      </c>
      <c r="D18">
        <v>30000</v>
      </c>
      <c r="E18" t="s">
        <v>15</v>
      </c>
      <c r="F18">
        <v>5582.49</v>
      </c>
      <c r="G18">
        <v>0.22719</v>
      </c>
      <c r="H18">
        <v>5552.9753000000001</v>
      </c>
      <c r="I18">
        <v>0.2263</v>
      </c>
      <c r="J18" s="10"/>
    </row>
    <row r="19" spans="1:13" x14ac:dyDescent="0.25">
      <c r="A19" s="6" t="s">
        <v>32</v>
      </c>
      <c r="B19" t="s">
        <v>41</v>
      </c>
      <c r="C19">
        <v>30000</v>
      </c>
      <c r="D19">
        <v>30000</v>
      </c>
      <c r="E19" t="s">
        <v>15</v>
      </c>
      <c r="F19">
        <v>5461.47</v>
      </c>
      <c r="G19">
        <v>0.22206999999999999</v>
      </c>
      <c r="H19">
        <v>5423.3231999999998</v>
      </c>
      <c r="I19">
        <v>0.22173999999999999</v>
      </c>
      <c r="J19" s="7"/>
    </row>
    <row r="20" spans="1:13" x14ac:dyDescent="0.25">
      <c r="A20" s="6" t="s">
        <v>33</v>
      </c>
      <c r="B20" t="s">
        <v>41</v>
      </c>
      <c r="C20">
        <v>30000</v>
      </c>
      <c r="D20">
        <v>30000</v>
      </c>
      <c r="E20" t="s">
        <v>15</v>
      </c>
      <c r="F20">
        <v>5601.27</v>
      </c>
      <c r="G20">
        <v>0.21632000000000001</v>
      </c>
      <c r="H20">
        <v>5544.3918999999996</v>
      </c>
      <c r="I20">
        <v>0.22091</v>
      </c>
      <c r="J20" s="7"/>
    </row>
    <row r="21" spans="1:13" x14ac:dyDescent="0.25">
      <c r="A21" s="6" t="s">
        <v>34</v>
      </c>
      <c r="B21" t="s">
        <v>41</v>
      </c>
      <c r="C21">
        <v>30000</v>
      </c>
      <c r="D21">
        <v>30000</v>
      </c>
      <c r="E21" t="s">
        <v>15</v>
      </c>
      <c r="F21">
        <v>5572.17</v>
      </c>
      <c r="G21">
        <v>0.21840999999999999</v>
      </c>
      <c r="H21">
        <v>5538.1575999999995</v>
      </c>
      <c r="I21">
        <v>0.22417000000000001</v>
      </c>
      <c r="J21" s="7"/>
    </row>
    <row r="22" spans="1:13" x14ac:dyDescent="0.25">
      <c r="A22" s="6" t="s">
        <v>35</v>
      </c>
      <c r="B22" t="s">
        <v>41</v>
      </c>
      <c r="C22">
        <v>30000</v>
      </c>
      <c r="D22">
        <v>30000</v>
      </c>
      <c r="E22" t="s">
        <v>15</v>
      </c>
      <c r="F22">
        <v>5489.61</v>
      </c>
      <c r="G22">
        <v>0.216</v>
      </c>
      <c r="H22">
        <v>5485.1908000000003</v>
      </c>
      <c r="I22">
        <v>0.22045999999999999</v>
      </c>
      <c r="J22" s="7"/>
    </row>
    <row r="23" spans="1:13" x14ac:dyDescent="0.25">
      <c r="A23" s="6" t="s">
        <v>36</v>
      </c>
      <c r="B23" t="s">
        <v>41</v>
      </c>
      <c r="C23">
        <v>30000</v>
      </c>
      <c r="D23">
        <v>30000</v>
      </c>
      <c r="E23" t="s">
        <v>15</v>
      </c>
      <c r="F23">
        <v>5455.83</v>
      </c>
      <c r="G23">
        <v>0.21572</v>
      </c>
      <c r="H23">
        <v>5432.4867000000004</v>
      </c>
      <c r="I23">
        <v>0.21965999999999999</v>
      </c>
      <c r="J23" s="7"/>
    </row>
    <row r="24" spans="1:13" x14ac:dyDescent="0.25">
      <c r="A24" s="6" t="s">
        <v>37</v>
      </c>
      <c r="B24" t="s">
        <v>41</v>
      </c>
      <c r="C24">
        <v>30000</v>
      </c>
      <c r="D24">
        <v>30000</v>
      </c>
      <c r="E24" t="s">
        <v>15</v>
      </c>
      <c r="F24">
        <v>5619.09</v>
      </c>
      <c r="G24">
        <v>0.22281000000000001</v>
      </c>
      <c r="H24">
        <v>5580.2267000000002</v>
      </c>
      <c r="I24">
        <v>0.21883</v>
      </c>
      <c r="J24" s="7"/>
    </row>
    <row r="25" spans="1:13" x14ac:dyDescent="0.25">
      <c r="A25" s="6" t="s">
        <v>38</v>
      </c>
      <c r="B25" t="s">
        <v>41</v>
      </c>
      <c r="C25">
        <v>30000</v>
      </c>
      <c r="D25">
        <v>30000</v>
      </c>
      <c r="E25" t="s">
        <v>15</v>
      </c>
      <c r="F25">
        <v>5780.43</v>
      </c>
      <c r="G25">
        <v>0.20682</v>
      </c>
      <c r="H25">
        <v>5754.8771999999999</v>
      </c>
      <c r="I25">
        <v>0.20996000000000001</v>
      </c>
      <c r="J25" s="10"/>
    </row>
    <row r="26" spans="1:13" x14ac:dyDescent="0.25">
      <c r="A26" s="6" t="s">
        <v>39</v>
      </c>
      <c r="B26" t="s">
        <v>41</v>
      </c>
      <c r="C26">
        <v>30000</v>
      </c>
      <c r="D26">
        <v>30000</v>
      </c>
      <c r="E26" t="s">
        <v>15</v>
      </c>
      <c r="F26">
        <v>5959.62</v>
      </c>
      <c r="G26">
        <v>0.21260000000000001</v>
      </c>
      <c r="H26">
        <v>5942.8752000000004</v>
      </c>
      <c r="I26">
        <v>0.21501000000000001</v>
      </c>
      <c r="J26" s="7"/>
    </row>
    <row r="27" spans="1:13" x14ac:dyDescent="0.25">
      <c r="A27" s="6" t="s">
        <v>40</v>
      </c>
      <c r="B27" t="s">
        <v>41</v>
      </c>
      <c r="C27">
        <v>30000</v>
      </c>
      <c r="D27">
        <v>30000</v>
      </c>
      <c r="E27" t="s">
        <v>15</v>
      </c>
      <c r="F27">
        <v>5812.35</v>
      </c>
      <c r="G27">
        <v>0.21185999999999999</v>
      </c>
      <c r="H27">
        <v>5751.1670000000004</v>
      </c>
      <c r="I27">
        <v>0.21421000000000001</v>
      </c>
      <c r="J27" s="7"/>
    </row>
    <row r="28" spans="1:13" x14ac:dyDescent="0.25">
      <c r="A28" s="6" t="s">
        <v>43</v>
      </c>
      <c r="B28" t="s">
        <v>42</v>
      </c>
      <c r="C28">
        <v>30000</v>
      </c>
      <c r="D28">
        <v>30000</v>
      </c>
      <c r="E28" t="s">
        <v>15</v>
      </c>
      <c r="F28">
        <v>5566.56</v>
      </c>
      <c r="G28">
        <v>0.21439</v>
      </c>
      <c r="H28">
        <v>5530.9982</v>
      </c>
      <c r="I28">
        <v>0.21811</v>
      </c>
      <c r="J28" s="7"/>
    </row>
    <row r="29" spans="1:13" x14ac:dyDescent="0.25">
      <c r="A29" s="6" t="s">
        <v>44</v>
      </c>
      <c r="B29" t="s">
        <v>42</v>
      </c>
      <c r="C29">
        <v>30000</v>
      </c>
      <c r="D29">
        <v>30000</v>
      </c>
      <c r="E29" t="s">
        <v>15</v>
      </c>
      <c r="F29">
        <v>5619.09</v>
      </c>
      <c r="G29">
        <v>0.22696</v>
      </c>
      <c r="H29">
        <v>5558.7892000000002</v>
      </c>
      <c r="I29">
        <v>0.22967000000000001</v>
      </c>
      <c r="J29" s="7"/>
    </row>
    <row r="30" spans="1:13" x14ac:dyDescent="0.25">
      <c r="A30" s="6" t="s">
        <v>45</v>
      </c>
      <c r="B30" t="s">
        <v>42</v>
      </c>
      <c r="C30">
        <v>30000</v>
      </c>
      <c r="D30">
        <v>30000</v>
      </c>
      <c r="E30" t="s">
        <v>15</v>
      </c>
      <c r="F30">
        <v>5521.53</v>
      </c>
      <c r="G30">
        <v>0.21759999999999999</v>
      </c>
      <c r="H30">
        <v>5478.8842999999997</v>
      </c>
      <c r="I30">
        <v>0.21920999999999999</v>
      </c>
      <c r="J30" s="7"/>
    </row>
    <row r="31" spans="1:13" x14ac:dyDescent="0.25">
      <c r="A31" s="6" t="s">
        <v>46</v>
      </c>
      <c r="B31" t="s">
        <v>42</v>
      </c>
      <c r="C31">
        <v>30000</v>
      </c>
      <c r="D31">
        <v>30000</v>
      </c>
      <c r="E31" t="s">
        <v>15</v>
      </c>
      <c r="F31">
        <v>5590.95</v>
      </c>
      <c r="G31">
        <v>0.21367</v>
      </c>
      <c r="H31">
        <v>5552.5189</v>
      </c>
      <c r="I31">
        <v>0.21643000000000001</v>
      </c>
    </row>
    <row r="32" spans="1:13" x14ac:dyDescent="0.25">
      <c r="A32" s="6" t="s">
        <v>47</v>
      </c>
      <c r="B32" t="s">
        <v>42</v>
      </c>
      <c r="C32">
        <v>30000</v>
      </c>
      <c r="D32">
        <v>30000</v>
      </c>
      <c r="E32" t="s">
        <v>15</v>
      </c>
      <c r="F32">
        <v>5609.7</v>
      </c>
      <c r="G32">
        <v>0.21238000000000001</v>
      </c>
      <c r="H32">
        <v>5600.0213999999996</v>
      </c>
      <c r="I32">
        <v>0.21404000000000001</v>
      </c>
      <c r="L32" s="7"/>
      <c r="M32" s="7"/>
    </row>
    <row r="33" spans="1:10" x14ac:dyDescent="0.25">
      <c r="A33" s="6" t="s">
        <v>48</v>
      </c>
      <c r="B33" t="s">
        <v>42</v>
      </c>
      <c r="C33">
        <v>30000</v>
      </c>
      <c r="D33">
        <v>30000</v>
      </c>
      <c r="E33" t="s">
        <v>15</v>
      </c>
      <c r="F33">
        <v>5616.27</v>
      </c>
      <c r="G33">
        <v>0.21486</v>
      </c>
      <c r="H33">
        <v>5595.9153999999999</v>
      </c>
      <c r="I33" s="11">
        <v>0.21509</v>
      </c>
    </row>
    <row r="34" spans="1:10" x14ac:dyDescent="0.25">
      <c r="A34" s="6" t="s">
        <v>49</v>
      </c>
      <c r="B34" t="s">
        <v>53</v>
      </c>
      <c r="C34">
        <v>30000</v>
      </c>
      <c r="D34">
        <v>30000</v>
      </c>
      <c r="E34" t="s">
        <v>15</v>
      </c>
      <c r="F34">
        <v>5462.4</v>
      </c>
      <c r="G34">
        <v>0.20763999999999999</v>
      </c>
      <c r="H34">
        <v>5424.7551999999996</v>
      </c>
      <c r="I34" s="11">
        <v>0.21007999999999999</v>
      </c>
    </row>
    <row r="35" spans="1:10" x14ac:dyDescent="0.25">
      <c r="A35" s="6" t="s">
        <v>50</v>
      </c>
      <c r="B35" t="s">
        <v>53</v>
      </c>
      <c r="C35">
        <v>30000</v>
      </c>
      <c r="D35">
        <v>30000</v>
      </c>
      <c r="E35" t="s">
        <v>15</v>
      </c>
      <c r="F35">
        <v>5484</v>
      </c>
      <c r="G35">
        <v>0.22153999999999999</v>
      </c>
      <c r="H35">
        <v>5436.7368999999999</v>
      </c>
      <c r="I35" s="11">
        <v>0.22298000000000001</v>
      </c>
    </row>
    <row r="36" spans="1:10" x14ac:dyDescent="0.25">
      <c r="A36" s="6" t="s">
        <v>51</v>
      </c>
      <c r="B36" t="s">
        <v>53</v>
      </c>
      <c r="C36">
        <v>30000</v>
      </c>
      <c r="D36">
        <v>30000</v>
      </c>
      <c r="E36" t="s">
        <v>15</v>
      </c>
      <c r="F36">
        <v>5555.28</v>
      </c>
      <c r="G36">
        <v>0.21607000000000001</v>
      </c>
      <c r="H36">
        <v>5510.6478999999999</v>
      </c>
      <c r="I36" s="11">
        <v>0.21919</v>
      </c>
    </row>
    <row r="37" spans="1:10" x14ac:dyDescent="0.25">
      <c r="A37" s="6" t="s">
        <v>52</v>
      </c>
      <c r="B37" t="s">
        <v>53</v>
      </c>
      <c r="C37">
        <v>30000</v>
      </c>
      <c r="D37">
        <v>30000</v>
      </c>
      <c r="E37" t="s">
        <v>15</v>
      </c>
      <c r="F37">
        <v>5556.24</v>
      </c>
      <c r="G37">
        <v>0.21475</v>
      </c>
      <c r="H37">
        <v>5453.2741999999998</v>
      </c>
      <c r="I37" s="11">
        <v>0.21640000000000001</v>
      </c>
    </row>
    <row r="38" spans="1:10" x14ac:dyDescent="0.25">
      <c r="A38" s="6" t="s">
        <v>54</v>
      </c>
      <c r="B38" t="s">
        <v>53</v>
      </c>
      <c r="C38">
        <v>30000</v>
      </c>
      <c r="D38">
        <v>30000</v>
      </c>
      <c r="E38" t="s">
        <v>15</v>
      </c>
      <c r="F38">
        <v>5582.49</v>
      </c>
      <c r="G38">
        <v>0.21733</v>
      </c>
      <c r="H38">
        <v>5563.2808000000005</v>
      </c>
      <c r="I38" s="11">
        <v>0.21887999999999999</v>
      </c>
    </row>
    <row r="39" spans="1:10" x14ac:dyDescent="0.25">
      <c r="A39" s="6" t="s">
        <v>55</v>
      </c>
      <c r="B39" t="s">
        <v>53</v>
      </c>
      <c r="C39">
        <v>30000</v>
      </c>
      <c r="D39">
        <v>30000</v>
      </c>
      <c r="E39" t="s">
        <v>15</v>
      </c>
      <c r="F39">
        <v>5640.66</v>
      </c>
      <c r="G39">
        <v>0.21290000000000001</v>
      </c>
      <c r="H39">
        <v>5584.9821000000002</v>
      </c>
      <c r="I39" s="11">
        <v>0.21507000000000001</v>
      </c>
      <c r="J39" s="7"/>
    </row>
    <row r="40" spans="1:10" x14ac:dyDescent="0.25">
      <c r="A40" s="6" t="s">
        <v>56</v>
      </c>
      <c r="B40" t="s">
        <v>53</v>
      </c>
      <c r="C40">
        <v>30000</v>
      </c>
      <c r="D40">
        <v>30000</v>
      </c>
      <c r="E40" t="s">
        <v>15</v>
      </c>
      <c r="F40">
        <v>5562.78</v>
      </c>
      <c r="G40">
        <v>0.21753</v>
      </c>
      <c r="H40">
        <v>5533.9916000000003</v>
      </c>
      <c r="I40" s="11">
        <v>0.21912999999999999</v>
      </c>
    </row>
    <row r="41" spans="1:10" x14ac:dyDescent="0.25">
      <c r="A41" s="6" t="s">
        <v>57</v>
      </c>
      <c r="B41" t="s">
        <v>53</v>
      </c>
      <c r="C41">
        <v>30000</v>
      </c>
      <c r="D41">
        <v>30000</v>
      </c>
      <c r="E41" t="s">
        <v>15</v>
      </c>
      <c r="F41">
        <v>5645.34</v>
      </c>
      <c r="G41">
        <v>0.21348</v>
      </c>
      <c r="H41">
        <v>5559.4411</v>
      </c>
      <c r="I41" s="11">
        <v>0.21578</v>
      </c>
      <c r="J41" s="7"/>
    </row>
    <row r="42" spans="1:10" x14ac:dyDescent="0.25">
      <c r="A42" s="6" t="s">
        <v>58</v>
      </c>
      <c r="B42" t="s">
        <v>53</v>
      </c>
      <c r="C42">
        <v>30000</v>
      </c>
      <c r="D42">
        <v>30000</v>
      </c>
      <c r="E42" t="s">
        <v>15</v>
      </c>
      <c r="F42">
        <v>5527.14</v>
      </c>
      <c r="G42">
        <v>0.21493000000000001</v>
      </c>
      <c r="H42">
        <v>5468.7867999999999</v>
      </c>
      <c r="I42" s="11">
        <v>0.21586</v>
      </c>
      <c r="J42" s="7"/>
    </row>
    <row r="43" spans="1:10" x14ac:dyDescent="0.25">
      <c r="A43" s="6" t="s">
        <v>59</v>
      </c>
      <c r="B43" t="s">
        <v>53</v>
      </c>
      <c r="C43">
        <v>30000</v>
      </c>
      <c r="D43">
        <v>30000</v>
      </c>
      <c r="E43" t="s">
        <v>15</v>
      </c>
      <c r="F43">
        <v>5675.37</v>
      </c>
      <c r="G43">
        <v>0.21473</v>
      </c>
      <c r="H43">
        <v>5608.0454</v>
      </c>
      <c r="I43" s="11">
        <v>0.21628</v>
      </c>
      <c r="J43" s="7"/>
    </row>
    <row r="44" spans="1:10" x14ac:dyDescent="0.25">
      <c r="A44" s="6" t="s">
        <v>60</v>
      </c>
      <c r="B44" t="s">
        <v>53</v>
      </c>
      <c r="C44">
        <v>30000</v>
      </c>
      <c r="D44">
        <v>30000</v>
      </c>
      <c r="E44" t="s">
        <v>15</v>
      </c>
      <c r="F44">
        <v>5562.78</v>
      </c>
      <c r="G44">
        <v>0.21517</v>
      </c>
      <c r="H44">
        <v>5557.3566000000001</v>
      </c>
      <c r="I44" s="11">
        <v>0.21598999999999999</v>
      </c>
    </row>
    <row r="45" spans="1:10" x14ac:dyDescent="0.25">
      <c r="A45" s="6" t="s">
        <v>61</v>
      </c>
      <c r="B45" t="s">
        <v>53</v>
      </c>
      <c r="C45">
        <v>30000</v>
      </c>
      <c r="D45">
        <v>30000</v>
      </c>
      <c r="E45" t="s">
        <v>15</v>
      </c>
      <c r="F45">
        <v>5587.2</v>
      </c>
      <c r="G45">
        <v>0.21435999999999999</v>
      </c>
      <c r="H45">
        <v>5529.4784</v>
      </c>
      <c r="I45" s="11">
        <v>0.21643000000000001</v>
      </c>
    </row>
    <row r="46" spans="1:10" x14ac:dyDescent="0.25">
      <c r="A46" s="6" t="s">
        <v>62</v>
      </c>
      <c r="B46" t="s">
        <v>53</v>
      </c>
      <c r="C46">
        <v>30000</v>
      </c>
      <c r="D46">
        <v>30000</v>
      </c>
      <c r="E46" t="s">
        <v>15</v>
      </c>
      <c r="F46">
        <v>5657.55</v>
      </c>
      <c r="G46">
        <v>0.21343999999999999</v>
      </c>
      <c r="H46">
        <v>5576.0266000000001</v>
      </c>
      <c r="I46" s="11">
        <v>0.21518000000000001</v>
      </c>
    </row>
    <row r="47" spans="1:10" x14ac:dyDescent="0.25">
      <c r="A47" s="6" t="s">
        <v>63</v>
      </c>
      <c r="B47" t="s">
        <v>53</v>
      </c>
      <c r="C47">
        <v>30000</v>
      </c>
      <c r="D47">
        <v>30000</v>
      </c>
      <c r="E47" t="s">
        <v>15</v>
      </c>
      <c r="F47">
        <v>5646.3</v>
      </c>
      <c r="G47">
        <v>0.21546000000000001</v>
      </c>
      <c r="H47">
        <v>5548.3189000000002</v>
      </c>
      <c r="I47" s="11">
        <v>0.21653</v>
      </c>
    </row>
    <row r="48" spans="1:10" x14ac:dyDescent="0.25">
      <c r="A48" s="6" t="s">
        <v>64</v>
      </c>
      <c r="B48" t="s">
        <v>53</v>
      </c>
      <c r="C48">
        <v>30000</v>
      </c>
      <c r="D48">
        <v>30000</v>
      </c>
      <c r="E48" t="s">
        <v>15</v>
      </c>
      <c r="F48">
        <v>5487.75</v>
      </c>
      <c r="G48">
        <v>0.21051</v>
      </c>
      <c r="H48">
        <v>5471.7577000000001</v>
      </c>
      <c r="I48" s="11">
        <v>0.21273</v>
      </c>
    </row>
    <row r="49" spans="1:9" x14ac:dyDescent="0.25">
      <c r="A49" s="6" t="s">
        <v>65</v>
      </c>
      <c r="B49" t="s">
        <v>53</v>
      </c>
      <c r="C49">
        <v>30000</v>
      </c>
      <c r="D49">
        <v>30000</v>
      </c>
      <c r="E49" t="s">
        <v>15</v>
      </c>
      <c r="F49">
        <v>5548.71</v>
      </c>
      <c r="G49">
        <v>0.20852999999999999</v>
      </c>
      <c r="H49">
        <v>5405.3675999999996</v>
      </c>
      <c r="I49" s="11">
        <v>0.21090999999999999</v>
      </c>
    </row>
    <row r="50" spans="1:9" x14ac:dyDescent="0.25">
      <c r="A50" s="6" t="s">
        <v>66</v>
      </c>
      <c r="B50" t="s">
        <v>53</v>
      </c>
      <c r="C50">
        <v>30000</v>
      </c>
      <c r="D50">
        <v>30000</v>
      </c>
      <c r="E50" t="s">
        <v>15</v>
      </c>
      <c r="F50">
        <v>5675.37</v>
      </c>
      <c r="G50">
        <v>0.21201999999999999</v>
      </c>
      <c r="H50">
        <v>5560.1094000000003</v>
      </c>
      <c r="I50" s="11">
        <v>0.21426999999999999</v>
      </c>
    </row>
    <row r="51" spans="1:9" x14ac:dyDescent="0.25">
      <c r="A51" s="6" t="s">
        <v>67</v>
      </c>
      <c r="B51" t="s">
        <v>53</v>
      </c>
      <c r="C51">
        <v>30000</v>
      </c>
      <c r="D51">
        <v>30000</v>
      </c>
      <c r="E51" t="s">
        <v>15</v>
      </c>
      <c r="F51">
        <v>5613.45</v>
      </c>
      <c r="G51">
        <v>0.21356</v>
      </c>
      <c r="H51">
        <v>5560.5847000000003</v>
      </c>
      <c r="I51" s="11">
        <v>0.21529000000000001</v>
      </c>
    </row>
    <row r="52" spans="1:9" x14ac:dyDescent="0.25">
      <c r="A52" s="6" t="s">
        <v>68</v>
      </c>
      <c r="B52" t="s">
        <v>53</v>
      </c>
      <c r="C52">
        <v>30000</v>
      </c>
      <c r="D52">
        <v>30000</v>
      </c>
      <c r="E52" t="s">
        <v>15</v>
      </c>
      <c r="F52">
        <v>5632.23</v>
      </c>
      <c r="G52">
        <v>0.21206</v>
      </c>
      <c r="H52">
        <v>5584.2205999999996</v>
      </c>
      <c r="I52" s="11">
        <v>0.21360999999999999</v>
      </c>
    </row>
    <row r="53" spans="1:9" x14ac:dyDescent="0.25">
      <c r="A53" s="6" t="s">
        <v>69</v>
      </c>
      <c r="B53" t="s">
        <v>53</v>
      </c>
      <c r="C53">
        <v>30000</v>
      </c>
      <c r="D53">
        <v>30000</v>
      </c>
      <c r="E53" t="s">
        <v>15</v>
      </c>
      <c r="F53">
        <v>5885.52</v>
      </c>
      <c r="G53">
        <v>0.22334999999999999</v>
      </c>
      <c r="H53">
        <v>5734.8931000000002</v>
      </c>
      <c r="I53" s="11">
        <v>0.22634000000000001</v>
      </c>
    </row>
    <row r="54" spans="1:9" x14ac:dyDescent="0.25">
      <c r="A54" s="6" t="s">
        <v>70</v>
      </c>
      <c r="B54" t="s">
        <v>53</v>
      </c>
      <c r="C54">
        <v>30000</v>
      </c>
      <c r="D54">
        <v>30000</v>
      </c>
      <c r="E54" t="s">
        <v>15</v>
      </c>
      <c r="F54">
        <v>5643.48</v>
      </c>
      <c r="G54">
        <v>0.21625</v>
      </c>
      <c r="H54">
        <v>5603.4822000000004</v>
      </c>
      <c r="I54" s="11">
        <v>0.21809000000000001</v>
      </c>
    </row>
    <row r="55" spans="1:9" x14ac:dyDescent="0.25">
      <c r="A55" s="6" t="s">
        <v>71</v>
      </c>
      <c r="B55" t="s">
        <v>53</v>
      </c>
      <c r="C55">
        <v>30000</v>
      </c>
      <c r="D55">
        <v>30000</v>
      </c>
      <c r="E55" t="s">
        <v>15</v>
      </c>
      <c r="F55">
        <v>5433.33</v>
      </c>
      <c r="G55">
        <v>0.21723000000000001</v>
      </c>
      <c r="H55">
        <v>5400.058</v>
      </c>
      <c r="I55" s="11">
        <v>0.21853</v>
      </c>
    </row>
    <row r="56" spans="1:9" x14ac:dyDescent="0.25">
      <c r="A56" s="6" t="s">
        <v>72</v>
      </c>
      <c r="B56" t="s">
        <v>53</v>
      </c>
      <c r="C56">
        <v>30000</v>
      </c>
      <c r="D56">
        <v>30000</v>
      </c>
      <c r="E56" t="s">
        <v>15</v>
      </c>
      <c r="F56">
        <v>5351.7</v>
      </c>
      <c r="G56">
        <v>0.21573999999999999</v>
      </c>
      <c r="H56">
        <v>5294.4354000000003</v>
      </c>
      <c r="I56" s="11">
        <v>0.21718999999999999</v>
      </c>
    </row>
    <row r="57" spans="1:9" x14ac:dyDescent="0.25">
      <c r="A57" s="6" t="s">
        <v>73</v>
      </c>
      <c r="B57" t="s">
        <v>53</v>
      </c>
      <c r="C57">
        <v>30000</v>
      </c>
      <c r="D57">
        <v>30000</v>
      </c>
      <c r="E57" t="s">
        <v>15</v>
      </c>
      <c r="F57">
        <v>5526.21</v>
      </c>
      <c r="G57">
        <v>0.22578999999999999</v>
      </c>
      <c r="H57">
        <v>5484.5344999999998</v>
      </c>
      <c r="I57" s="11">
        <v>0.22721</v>
      </c>
    </row>
    <row r="58" spans="1:9" x14ac:dyDescent="0.25">
      <c r="A58" s="6" t="s">
        <v>74</v>
      </c>
      <c r="B58" t="s">
        <v>53</v>
      </c>
      <c r="C58">
        <v>30000</v>
      </c>
      <c r="D58">
        <v>30000</v>
      </c>
      <c r="E58" t="s">
        <v>15</v>
      </c>
      <c r="F58">
        <v>5416.44</v>
      </c>
      <c r="G58">
        <v>0.21653</v>
      </c>
      <c r="H58">
        <v>5357.7924999999996</v>
      </c>
      <c r="I58" s="11">
        <v>0.21711</v>
      </c>
    </row>
    <row r="59" spans="1:9" x14ac:dyDescent="0.25">
      <c r="A59" s="6" t="s">
        <v>75</v>
      </c>
      <c r="B59" t="s">
        <v>53</v>
      </c>
      <c r="C59">
        <v>30000</v>
      </c>
      <c r="D59">
        <v>30000</v>
      </c>
      <c r="E59" t="s">
        <v>15</v>
      </c>
      <c r="F59">
        <v>5558.1</v>
      </c>
      <c r="G59">
        <v>0.21537999999999999</v>
      </c>
      <c r="H59">
        <v>5538.3918999999996</v>
      </c>
      <c r="I59" s="11">
        <v>0.21698000000000001</v>
      </c>
    </row>
    <row r="60" spans="1:9" x14ac:dyDescent="0.25">
      <c r="A60" s="6" t="s">
        <v>76</v>
      </c>
      <c r="B60" t="s">
        <v>53</v>
      </c>
      <c r="C60">
        <v>30000</v>
      </c>
      <c r="D60">
        <v>30000</v>
      </c>
      <c r="E60" t="s">
        <v>15</v>
      </c>
      <c r="F60">
        <v>5721.33</v>
      </c>
      <c r="G60">
        <v>0.21121000000000001</v>
      </c>
      <c r="H60">
        <v>5623.9336999999996</v>
      </c>
      <c r="I60" s="11">
        <v>0.21288000000000001</v>
      </c>
    </row>
    <row r="61" spans="1:9" x14ac:dyDescent="0.25">
      <c r="A61" s="6" t="s">
        <v>77</v>
      </c>
      <c r="B61" t="s">
        <v>53</v>
      </c>
      <c r="C61">
        <v>30000</v>
      </c>
      <c r="D61">
        <v>30000</v>
      </c>
      <c r="E61" t="s">
        <v>15</v>
      </c>
      <c r="F61">
        <v>5632.23</v>
      </c>
      <c r="G61">
        <v>0.21328</v>
      </c>
      <c r="H61">
        <v>5590.2565999999997</v>
      </c>
      <c r="I61" s="11">
        <v>0.21501000000000001</v>
      </c>
    </row>
    <row r="62" spans="1:9" x14ac:dyDescent="0.25">
      <c r="A62" s="6" t="s">
        <v>78</v>
      </c>
      <c r="B62" t="s">
        <v>53</v>
      </c>
      <c r="C62">
        <v>30000</v>
      </c>
      <c r="D62">
        <v>30000</v>
      </c>
      <c r="E62" t="s">
        <v>15</v>
      </c>
      <c r="F62">
        <v>5137.8</v>
      </c>
      <c r="G62">
        <v>0.22503999999999999</v>
      </c>
      <c r="H62">
        <v>5076.0987999999998</v>
      </c>
      <c r="I62" s="11">
        <v>0.22636999999999999</v>
      </c>
    </row>
    <row r="63" spans="1:9" x14ac:dyDescent="0.25">
      <c r="A63" s="6" t="s">
        <v>79</v>
      </c>
      <c r="B63" t="s">
        <v>53</v>
      </c>
      <c r="C63">
        <v>30000</v>
      </c>
      <c r="D63">
        <v>30000</v>
      </c>
      <c r="E63" t="s">
        <v>15</v>
      </c>
      <c r="F63">
        <v>5253.51</v>
      </c>
      <c r="G63">
        <v>0.22749</v>
      </c>
      <c r="H63">
        <v>5157.5393999999997</v>
      </c>
      <c r="I63" s="11">
        <v>0.23241000000000001</v>
      </c>
    </row>
    <row r="64" spans="1:9" x14ac:dyDescent="0.25">
      <c r="A64" s="6" t="s">
        <v>80</v>
      </c>
      <c r="B64" t="s">
        <v>53</v>
      </c>
      <c r="C64">
        <v>30000</v>
      </c>
      <c r="D64">
        <v>30000</v>
      </c>
      <c r="E64" t="s">
        <v>15</v>
      </c>
      <c r="F64">
        <v>5732.61</v>
      </c>
      <c r="G64">
        <v>0.21265999999999999</v>
      </c>
      <c r="H64">
        <v>5652.7353999999996</v>
      </c>
      <c r="I64" s="11">
        <v>0.21421000000000001</v>
      </c>
    </row>
    <row r="65" spans="1:10" x14ac:dyDescent="0.25">
      <c r="A65" s="6" t="s">
        <v>81</v>
      </c>
      <c r="B65" t="s">
        <v>53</v>
      </c>
      <c r="C65">
        <v>30000</v>
      </c>
      <c r="D65">
        <v>30000</v>
      </c>
      <c r="E65" t="s">
        <v>15</v>
      </c>
      <c r="F65">
        <v>5665.98</v>
      </c>
      <c r="G65">
        <v>0.21403</v>
      </c>
      <c r="H65">
        <v>5625.7196999999996</v>
      </c>
      <c r="I65" s="11">
        <v>0.21647</v>
      </c>
    </row>
    <row r="66" spans="1:10" x14ac:dyDescent="0.25">
      <c r="A66" s="6" t="s">
        <v>82</v>
      </c>
      <c r="B66" t="s">
        <v>53</v>
      </c>
      <c r="C66">
        <v>30000</v>
      </c>
      <c r="D66">
        <v>30000</v>
      </c>
      <c r="E66" t="s">
        <v>15</v>
      </c>
      <c r="F66">
        <v>5622.84</v>
      </c>
      <c r="G66">
        <v>0.21564</v>
      </c>
      <c r="H66">
        <v>5555.7686000000003</v>
      </c>
      <c r="I66" s="11">
        <v>0.21781</v>
      </c>
    </row>
    <row r="67" spans="1:10" x14ac:dyDescent="0.25">
      <c r="A67" s="6" t="s">
        <v>83</v>
      </c>
      <c r="B67" t="s">
        <v>53</v>
      </c>
      <c r="C67">
        <v>30000</v>
      </c>
      <c r="D67">
        <v>30000</v>
      </c>
      <c r="E67" t="s">
        <v>15</v>
      </c>
      <c r="F67">
        <v>5601.27</v>
      </c>
      <c r="G67">
        <v>0.21581</v>
      </c>
      <c r="H67">
        <v>5555.1605</v>
      </c>
      <c r="I67" s="11">
        <v>0.21753</v>
      </c>
    </row>
    <row r="68" spans="1:10" x14ac:dyDescent="0.25">
      <c r="A68" s="6" t="s">
        <v>84</v>
      </c>
      <c r="B68" t="s">
        <v>53</v>
      </c>
      <c r="C68">
        <v>30000</v>
      </c>
      <c r="D68">
        <v>30000</v>
      </c>
      <c r="E68" t="s">
        <v>15</v>
      </c>
      <c r="F68">
        <v>5636.91</v>
      </c>
      <c r="G68">
        <v>0.21506</v>
      </c>
      <c r="H68">
        <v>5533.5392000000002</v>
      </c>
      <c r="I68" s="11">
        <v>0.21618999999999999</v>
      </c>
    </row>
    <row r="69" spans="1:10" x14ac:dyDescent="0.25">
      <c r="A69" s="6" t="s">
        <v>85</v>
      </c>
      <c r="B69" t="s">
        <v>53</v>
      </c>
      <c r="C69">
        <v>30000</v>
      </c>
      <c r="D69">
        <v>30000</v>
      </c>
      <c r="E69" t="s">
        <v>15</v>
      </c>
      <c r="F69">
        <v>5205.3599999999997</v>
      </c>
      <c r="G69">
        <v>0.22986999999999999</v>
      </c>
      <c r="H69">
        <v>5198.4044000000004</v>
      </c>
      <c r="I69" s="11">
        <v>0.22944000000000001</v>
      </c>
    </row>
    <row r="70" spans="1:10" x14ac:dyDescent="0.25">
      <c r="A70" s="6" t="s">
        <v>86</v>
      </c>
      <c r="B70" t="s">
        <v>53</v>
      </c>
      <c r="C70">
        <v>30000</v>
      </c>
      <c r="D70">
        <v>30000</v>
      </c>
      <c r="E70" t="s">
        <v>15</v>
      </c>
      <c r="F70">
        <v>5189.3999999999996</v>
      </c>
      <c r="G70">
        <v>0.22131000000000001</v>
      </c>
      <c r="H70">
        <v>5149.6378000000004</v>
      </c>
      <c r="I70" s="11">
        <v>0.22341</v>
      </c>
    </row>
    <row r="71" spans="1:10" x14ac:dyDescent="0.25">
      <c r="A71" s="6" t="s">
        <v>87</v>
      </c>
      <c r="B71" t="s">
        <v>53</v>
      </c>
      <c r="C71">
        <v>30000</v>
      </c>
      <c r="D71">
        <v>30000</v>
      </c>
      <c r="E71" t="s">
        <v>15</v>
      </c>
      <c r="F71">
        <v>5232.57</v>
      </c>
      <c r="G71">
        <v>0.22437000000000001</v>
      </c>
      <c r="H71">
        <v>5218.1472000000003</v>
      </c>
      <c r="I71" s="11">
        <v>0.22556000000000001</v>
      </c>
    </row>
    <row r="72" spans="1:10" x14ac:dyDescent="0.25">
      <c r="A72" s="6" t="s">
        <v>88</v>
      </c>
      <c r="B72" t="s">
        <v>53</v>
      </c>
      <c r="C72">
        <v>30000</v>
      </c>
      <c r="D72">
        <v>30000</v>
      </c>
      <c r="E72" t="s">
        <v>15</v>
      </c>
      <c r="F72">
        <v>5263.53</v>
      </c>
      <c r="G72">
        <v>0.22202</v>
      </c>
      <c r="H72">
        <v>5144.4444999999996</v>
      </c>
      <c r="I72">
        <v>0.22427</v>
      </c>
    </row>
    <row r="73" spans="1:10" x14ac:dyDescent="0.25">
      <c r="A73" s="6" t="s">
        <v>89</v>
      </c>
      <c r="B73" t="s">
        <v>53</v>
      </c>
      <c r="C73">
        <v>30000</v>
      </c>
      <c r="D73">
        <v>30000</v>
      </c>
      <c r="E73" t="s">
        <v>15</v>
      </c>
      <c r="F73">
        <v>5711.97</v>
      </c>
      <c r="G73">
        <v>0.21551999999999999</v>
      </c>
      <c r="H73">
        <v>5645.6125000000002</v>
      </c>
      <c r="I73">
        <v>0.21576000000000001</v>
      </c>
    </row>
    <row r="74" spans="1:10" x14ac:dyDescent="0.25">
      <c r="A74" s="6" t="s">
        <v>90</v>
      </c>
      <c r="B74" t="s">
        <v>53</v>
      </c>
      <c r="C74">
        <v>30000</v>
      </c>
      <c r="D74">
        <v>30000</v>
      </c>
      <c r="E74" t="s">
        <v>15</v>
      </c>
      <c r="F74">
        <v>5332.95</v>
      </c>
      <c r="G74">
        <v>0.22151000000000001</v>
      </c>
      <c r="H74">
        <v>5273.1738999999998</v>
      </c>
      <c r="I74">
        <v>0.22367999999999999</v>
      </c>
    </row>
    <row r="75" spans="1:10" x14ac:dyDescent="0.25">
      <c r="A75" s="6" t="s">
        <v>91</v>
      </c>
      <c r="B75" t="s">
        <v>53</v>
      </c>
      <c r="C75">
        <v>30000</v>
      </c>
      <c r="D75">
        <v>30000</v>
      </c>
      <c r="E75" t="s">
        <v>15</v>
      </c>
      <c r="F75">
        <v>5334.81</v>
      </c>
      <c r="G75">
        <v>0.2203</v>
      </c>
      <c r="H75">
        <v>5326.5347000000002</v>
      </c>
      <c r="I75">
        <v>0.22047</v>
      </c>
    </row>
    <row r="76" spans="1:10" x14ac:dyDescent="0.25">
      <c r="A76" s="6" t="s">
        <v>92</v>
      </c>
      <c r="B76" t="s">
        <v>42</v>
      </c>
      <c r="C76">
        <v>30000</v>
      </c>
      <c r="D76">
        <v>30000</v>
      </c>
      <c r="E76" t="s">
        <v>15</v>
      </c>
      <c r="F76">
        <v>6362.1</v>
      </c>
      <c r="G76">
        <v>0.20474000000000001</v>
      </c>
      <c r="H76">
        <v>6248.1469999999999</v>
      </c>
      <c r="I76">
        <v>0.20673</v>
      </c>
    </row>
    <row r="77" spans="1:10" x14ac:dyDescent="0.25">
      <c r="A77" s="6" t="s">
        <v>93</v>
      </c>
      <c r="B77" t="s">
        <v>42</v>
      </c>
      <c r="C77">
        <v>30000</v>
      </c>
      <c r="D77">
        <v>30000</v>
      </c>
      <c r="E77" t="s">
        <v>15</v>
      </c>
      <c r="F77">
        <v>6396.67</v>
      </c>
      <c r="G77">
        <v>0.20261000000000001</v>
      </c>
      <c r="H77">
        <v>6323.3037999999997</v>
      </c>
      <c r="I77">
        <v>0.20341999999999999</v>
      </c>
      <c r="J77" s="16"/>
    </row>
    <row r="78" spans="1:10" x14ac:dyDescent="0.25">
      <c r="A78" s="6" t="s">
        <v>94</v>
      </c>
      <c r="B78" t="s">
        <v>53</v>
      </c>
      <c r="C78">
        <v>30000</v>
      </c>
      <c r="D78">
        <v>30000</v>
      </c>
      <c r="E78" t="s">
        <v>15</v>
      </c>
      <c r="F78">
        <v>5740.11</v>
      </c>
      <c r="G78">
        <v>0.21293000000000001</v>
      </c>
      <c r="H78">
        <v>5702.5263000000004</v>
      </c>
      <c r="I78">
        <v>0.21414</v>
      </c>
    </row>
    <row r="79" spans="1:10" x14ac:dyDescent="0.25">
      <c r="A79" s="6" t="s">
        <v>95</v>
      </c>
      <c r="B79" t="s">
        <v>53</v>
      </c>
      <c r="C79">
        <v>30000</v>
      </c>
      <c r="D79">
        <v>30000</v>
      </c>
      <c r="E79" t="s">
        <v>15</v>
      </c>
      <c r="F79">
        <v>5655.66</v>
      </c>
      <c r="G79">
        <v>0.2167</v>
      </c>
      <c r="H79">
        <v>5613.3986000000004</v>
      </c>
      <c r="I79">
        <v>0.21753</v>
      </c>
    </row>
    <row r="80" spans="1:10" x14ac:dyDescent="0.25">
      <c r="A80" s="6" t="s">
        <v>96</v>
      </c>
      <c r="B80" t="s">
        <v>53</v>
      </c>
      <c r="C80">
        <v>30000</v>
      </c>
      <c r="D80">
        <v>30000</v>
      </c>
      <c r="E80" t="s">
        <v>15</v>
      </c>
      <c r="F80">
        <v>6013.11</v>
      </c>
      <c r="G80">
        <v>0.21611</v>
      </c>
      <c r="H80">
        <v>5944.0362999999998</v>
      </c>
      <c r="I80">
        <v>0.20674000000000001</v>
      </c>
    </row>
    <row r="81" spans="1:9" x14ac:dyDescent="0.25">
      <c r="A81" s="6" t="s">
        <v>97</v>
      </c>
      <c r="B81" t="s">
        <v>53</v>
      </c>
      <c r="C81">
        <v>30000</v>
      </c>
      <c r="D81">
        <v>30000</v>
      </c>
      <c r="E81" t="s">
        <v>15</v>
      </c>
      <c r="F81">
        <v>6001.86</v>
      </c>
      <c r="G81">
        <v>0.21453</v>
      </c>
      <c r="H81">
        <v>5991.6044000000002</v>
      </c>
      <c r="I81">
        <v>0.21428</v>
      </c>
    </row>
    <row r="82" spans="1:9" x14ac:dyDescent="0.25">
      <c r="A82" s="6" t="s">
        <v>98</v>
      </c>
      <c r="B82" t="s">
        <v>53</v>
      </c>
      <c r="C82">
        <v>30000</v>
      </c>
      <c r="D82">
        <v>30000</v>
      </c>
      <c r="E82" t="s">
        <v>15</v>
      </c>
      <c r="F82">
        <v>5685.69</v>
      </c>
      <c r="G82">
        <v>0.21404999999999999</v>
      </c>
      <c r="H82">
        <v>5634.0436</v>
      </c>
      <c r="I82">
        <v>0.21496000000000001</v>
      </c>
    </row>
    <row r="83" spans="1:9" x14ac:dyDescent="0.25">
      <c r="A83" s="6" t="s">
        <v>99</v>
      </c>
      <c r="B83" t="s">
        <v>53</v>
      </c>
      <c r="C83">
        <v>30000</v>
      </c>
      <c r="D83">
        <v>30000</v>
      </c>
      <c r="E83" t="s">
        <v>15</v>
      </c>
      <c r="F83">
        <v>5619.09</v>
      </c>
      <c r="G83">
        <v>0.21199999999999999</v>
      </c>
      <c r="H83">
        <v>5607.2696999999998</v>
      </c>
      <c r="I83">
        <v>0.21193000000000001</v>
      </c>
    </row>
    <row r="84" spans="1:9" x14ac:dyDescent="0.25">
      <c r="A84" s="6" t="s">
        <v>100</v>
      </c>
      <c r="B84" t="s">
        <v>53</v>
      </c>
      <c r="C84">
        <v>30000</v>
      </c>
      <c r="D84">
        <v>30000</v>
      </c>
      <c r="E84" t="s">
        <v>15</v>
      </c>
      <c r="F84">
        <v>6180.09</v>
      </c>
      <c r="G84">
        <v>0.20655999999999999</v>
      </c>
      <c r="H84">
        <v>6119.3526000000002</v>
      </c>
      <c r="I84">
        <v>0.20813999999999999</v>
      </c>
    </row>
    <row r="85" spans="1:9" x14ac:dyDescent="0.25">
      <c r="A85" s="6" t="s">
        <v>101</v>
      </c>
      <c r="B85" t="s">
        <v>53</v>
      </c>
      <c r="C85">
        <v>30000</v>
      </c>
      <c r="D85">
        <v>30000</v>
      </c>
      <c r="E85" t="s">
        <v>15</v>
      </c>
      <c r="F85">
        <v>5642.55</v>
      </c>
      <c r="G85">
        <v>0.21587999999999999</v>
      </c>
      <c r="H85">
        <v>5605.049</v>
      </c>
      <c r="I85">
        <v>0.21668999999999999</v>
      </c>
    </row>
    <row r="86" spans="1:9" x14ac:dyDescent="0.25">
      <c r="A86" s="6" t="s">
        <v>102</v>
      </c>
      <c r="B86" t="s">
        <v>53</v>
      </c>
      <c r="C86">
        <v>30000</v>
      </c>
      <c r="D86">
        <v>30000</v>
      </c>
      <c r="E86" t="s">
        <v>15</v>
      </c>
      <c r="F86">
        <v>5769.18</v>
      </c>
      <c r="G86">
        <v>0.21403</v>
      </c>
      <c r="H86">
        <v>5633.2218999999996</v>
      </c>
      <c r="I86">
        <v>0.21557999999999999</v>
      </c>
    </row>
    <row r="87" spans="1:9" x14ac:dyDescent="0.25">
      <c r="A87" s="6" t="s">
        <v>103</v>
      </c>
      <c r="B87" t="s">
        <v>53</v>
      </c>
      <c r="C87">
        <v>30000</v>
      </c>
      <c r="D87">
        <v>30000</v>
      </c>
      <c r="E87" t="s">
        <v>15</v>
      </c>
      <c r="F87">
        <v>5603.13</v>
      </c>
      <c r="G87">
        <v>0.21676999999999999</v>
      </c>
      <c r="H87">
        <v>5560.6278000000002</v>
      </c>
      <c r="I87">
        <v>0.21712999999999999</v>
      </c>
    </row>
    <row r="88" spans="1:9" x14ac:dyDescent="0.25">
      <c r="A88" s="6" t="s">
        <v>104</v>
      </c>
      <c r="B88" t="s">
        <v>53</v>
      </c>
      <c r="C88">
        <v>30000</v>
      </c>
      <c r="D88">
        <v>30000</v>
      </c>
      <c r="E88" t="s">
        <v>15</v>
      </c>
      <c r="F88">
        <v>5827.35</v>
      </c>
      <c r="G88">
        <v>0.21426000000000001</v>
      </c>
      <c r="H88">
        <v>5797.8680999999997</v>
      </c>
      <c r="I88">
        <v>0.21462000000000001</v>
      </c>
    </row>
    <row r="89" spans="1:9" x14ac:dyDescent="0.25">
      <c r="A89" s="6" t="s">
        <v>105</v>
      </c>
      <c r="B89" t="s">
        <v>53</v>
      </c>
      <c r="C89">
        <v>30000</v>
      </c>
      <c r="D89">
        <v>30000</v>
      </c>
      <c r="E89" t="s">
        <v>15</v>
      </c>
      <c r="F89">
        <v>5967.15</v>
      </c>
      <c r="G89">
        <v>0.21004999999999999</v>
      </c>
      <c r="H89">
        <v>5820.9247999999998</v>
      </c>
      <c r="I89">
        <v>0.21057999999999999</v>
      </c>
    </row>
    <row r="90" spans="1:9" x14ac:dyDescent="0.25">
      <c r="A90" s="6" t="s">
        <v>106</v>
      </c>
      <c r="B90" t="s">
        <v>53</v>
      </c>
      <c r="C90">
        <v>30000</v>
      </c>
      <c r="D90">
        <v>30000</v>
      </c>
      <c r="E90" t="s">
        <v>15</v>
      </c>
      <c r="F90">
        <v>6138.81</v>
      </c>
      <c r="G90">
        <v>0.20452999999999999</v>
      </c>
      <c r="H90">
        <v>6080.6679999999997</v>
      </c>
      <c r="I90">
        <v>0.20574999999999999</v>
      </c>
    </row>
    <row r="91" spans="1:9" x14ac:dyDescent="0.25">
      <c r="A91" s="6" t="s">
        <v>107</v>
      </c>
      <c r="B91" t="s">
        <v>53</v>
      </c>
      <c r="C91">
        <v>30000</v>
      </c>
      <c r="D91">
        <v>30000</v>
      </c>
      <c r="E91" t="s">
        <v>15</v>
      </c>
      <c r="F91">
        <v>5829.24</v>
      </c>
      <c r="G91">
        <v>0.21393999999999999</v>
      </c>
      <c r="H91">
        <v>5684.4057000000003</v>
      </c>
      <c r="I91">
        <v>0.21634999999999999</v>
      </c>
    </row>
    <row r="92" spans="1:9" x14ac:dyDescent="0.25">
      <c r="A92" s="6" t="s">
        <v>108</v>
      </c>
      <c r="B92" t="s">
        <v>53</v>
      </c>
      <c r="C92">
        <v>30000</v>
      </c>
      <c r="D92">
        <v>30000</v>
      </c>
      <c r="E92" t="s">
        <v>15</v>
      </c>
      <c r="F92">
        <v>5830.17</v>
      </c>
      <c r="G92">
        <v>0.21368999999999999</v>
      </c>
      <c r="H92">
        <v>5738.6778000000004</v>
      </c>
      <c r="I92">
        <v>0.21415000000000001</v>
      </c>
    </row>
  </sheetData>
  <mergeCells count="3">
    <mergeCell ref="B10:J10"/>
    <mergeCell ref="A1:J1"/>
    <mergeCell ref="C1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FE4786-1E86-4284-83CC-DCCB3F791493}"/>
</file>

<file path=customXml/itemProps2.xml><?xml version="1.0" encoding="utf-8"?>
<ds:datastoreItem xmlns:ds="http://schemas.openxmlformats.org/officeDocument/2006/customXml" ds:itemID="{C32C3D65-32DF-419E-AD56-248D18AD28B0}"/>
</file>

<file path=customXml/itemProps3.xml><?xml version="1.0" encoding="utf-8"?>
<ds:datastoreItem xmlns:ds="http://schemas.openxmlformats.org/officeDocument/2006/customXml" ds:itemID="{B042C46D-2FC8-48DE-8C55-030938197D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415user</cp:lastModifiedBy>
  <dcterms:created xsi:type="dcterms:W3CDTF">2024-06-20T16:45:36Z</dcterms:created>
  <dcterms:modified xsi:type="dcterms:W3CDTF">2025-07-21T19:56:40Z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