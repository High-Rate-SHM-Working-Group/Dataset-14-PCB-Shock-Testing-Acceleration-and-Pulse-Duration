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FRL_USER\Documents\2025 - Ryan Yount\Test Set 1\m018116_p6KG\"/>
    </mc:Choice>
  </mc:AlternateContent>
  <bookViews>
    <workbookView xWindow="240" yWindow="240" windowWidth="32592" windowHeight="15132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21" i="1" l="1"/>
  <c r="F21" i="1"/>
</calcChain>
</file>

<file path=xl/sharedStrings.xml><?xml version="1.0" encoding="utf-8"?>
<sst xmlns="http://schemas.openxmlformats.org/spreadsheetml/2006/main" count="57" uniqueCount="37">
  <si>
    <t>S/N</t>
  </si>
  <si>
    <t>Sens</t>
  </si>
  <si>
    <t>Base Accel</t>
  </si>
  <si>
    <t xml:space="preserve">Pre-Test Notes: </t>
  </si>
  <si>
    <t>Filename</t>
  </si>
  <si>
    <t>TEMP</t>
  </si>
  <si>
    <t>FSIN Base</t>
  </si>
  <si>
    <t>FSIN/UNIT</t>
  </si>
  <si>
    <t>Comments</t>
  </si>
  <si>
    <t>7280A-60k</t>
  </si>
  <si>
    <t>PEAK (g) Base</t>
  </si>
  <si>
    <t>EN256</t>
  </si>
  <si>
    <t>n/a</t>
  </si>
  <si>
    <t>Height/Mitigator</t>
  </si>
  <si>
    <t>Test Description</t>
  </si>
  <si>
    <t>Reference Testing for Peak and Pulse Width</t>
  </si>
  <si>
    <t>RT</t>
  </si>
  <si>
    <t>PEAK (g) Filt</t>
  </si>
  <si>
    <t>Pulse Width (ms)</t>
  </si>
  <si>
    <t>Pulse Width (ms) Filt</t>
  </si>
  <si>
    <t>Base accel and resistor on the board. Meant to find # of impacts to failure at a given peak G and pulse width.</t>
  </si>
  <si>
    <t>Start at height: 15.5 in, felt: 1/16th; aim for 8000 g</t>
  </si>
  <si>
    <t>Set 1/Length 4.5/Board 05</t>
  </si>
  <si>
    <t>New SET 1 impact meant to guide the model to the area with intuitively more uncertainty than it is currently calculating</t>
  </si>
  <si>
    <t>21" / 1/16th + 1/8th</t>
  </si>
  <si>
    <t>t01_SET1_h21_m018116-F1.txt</t>
  </si>
  <si>
    <t>t02_SET1_h21_m018116-F1.txt</t>
  </si>
  <si>
    <t>no resistor data, forgot to change the plug</t>
  </si>
  <si>
    <t>21.5" / 1/16th + 1/8th</t>
  </si>
  <si>
    <t>t03_SET1_h21_m018116-F1.txt</t>
  </si>
  <si>
    <t>t04_SET1_h21_m018116-F1.txt</t>
  </si>
  <si>
    <t>t05_SET1_h21_m018116-F1.txt</t>
  </si>
  <si>
    <t>t06_SET1_h21_m018116-F1.txt</t>
  </si>
  <si>
    <t>t07_SET1_h21_m018116-F1.txt</t>
  </si>
  <si>
    <t>t08_SET1_h21_m018116-F1.txt</t>
  </si>
  <si>
    <t xml:space="preserve">forgot to hit start acquisition </t>
  </si>
  <si>
    <t>resistor failure. Single joint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</si>
</sst>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Fill="1" applyBorder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applyFill="1" applyAlignment="1">
      <alignment wrapText="1"/>
    </xf>
    <xf numFmtId="0" fontId="0" fillId="0" borderId="0" xfId="0" applyNumberFormat="1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horizontal="left" vertical="top" wrapText="1"/>
    </xf>
    <xf numFmtId="0" fontId="2" fillId="0" borderId="0" xfId="0" applyFont="1" applyFill="1" applyAlignment="1">
      <alignment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7"/>
  <sheetViews>
    <sheetView tabSelected="1" topLeftCell="A7" workbookViewId="0">
      <selection activeCell="B23" sqref="B23"/>
    </sheetView>
  </sheetViews>
  <sheetFormatPr defaultRowHeight="14.4" x14ac:dyDescent="0.3"/>
  <cols>
    <col min="1" max="1" width="29.33203125" bestFit="1" customWidth="1"/>
    <col min="2" max="2" width="19.6640625" bestFit="1" customWidth="1"/>
    <col min="3" max="3" width="11" customWidth="1"/>
    <col min="4" max="4" width="10.109375" bestFit="1" customWidth="1"/>
    <col min="5" max="5" width="10.109375" customWidth="1"/>
    <col min="6" max="6" width="13.109375" bestFit="1" customWidth="1"/>
    <col min="7" max="7" width="18.5546875" bestFit="1" customWidth="1"/>
    <col min="8" max="8" width="11.6640625" bestFit="1" customWidth="1"/>
    <col min="9" max="9" width="22.5546875" customWidth="1"/>
    <col min="10" max="10" width="39.33203125" customWidth="1"/>
    <col min="11" max="11" width="12.109375" customWidth="1"/>
    <col min="12" max="13" width="21" bestFit="1" customWidth="1"/>
    <col min="15" max="15" width="21.88671875" bestFit="1" customWidth="1"/>
  </cols>
  <sheetData>
    <row r="1" spans="1:12" ht="15" thickBot="1" x14ac:dyDescent="0.35">
      <c r="A1" s="20" t="s">
        <v>15</v>
      </c>
      <c r="B1" s="21"/>
      <c r="C1" s="21"/>
      <c r="D1" s="21"/>
      <c r="E1" s="21"/>
      <c r="F1" s="21"/>
      <c r="G1" s="21"/>
      <c r="H1" s="21"/>
      <c r="I1" s="21"/>
      <c r="J1" s="22"/>
      <c r="K1" s="1"/>
      <c r="L1" s="1"/>
    </row>
    <row r="2" spans="1:12" x14ac:dyDescent="0.3">
      <c r="A2" s="10" t="s">
        <v>2</v>
      </c>
      <c r="B2" s="10" t="s">
        <v>9</v>
      </c>
      <c r="C2" s="10"/>
      <c r="D2" s="10"/>
      <c r="E2" s="10"/>
      <c r="F2" s="10"/>
    </row>
    <row r="3" spans="1:12" x14ac:dyDescent="0.3">
      <c r="A3" s="10" t="s">
        <v>0</v>
      </c>
      <c r="B3" s="10" t="s">
        <v>11</v>
      </c>
      <c r="C3" s="10"/>
      <c r="D3" s="10"/>
      <c r="E3" s="10"/>
      <c r="F3" s="10"/>
      <c r="I3" s="11"/>
    </row>
    <row r="4" spans="1:12" x14ac:dyDescent="0.3">
      <c r="A4" s="10" t="s">
        <v>1</v>
      </c>
      <c r="B4" s="10">
        <v>4.47</v>
      </c>
      <c r="C4" s="10"/>
      <c r="D4" s="10"/>
      <c r="E4" s="10"/>
      <c r="F4" s="10"/>
      <c r="I4" s="10" t="s">
        <v>14</v>
      </c>
      <c r="J4" t="s">
        <v>22</v>
      </c>
    </row>
    <row r="5" spans="1:12" ht="72" x14ac:dyDescent="0.3">
      <c r="A5" s="10"/>
      <c r="B5" s="10"/>
      <c r="C5" s="10"/>
      <c r="D5" s="10"/>
      <c r="E5" s="10"/>
      <c r="F5" s="10"/>
      <c r="I5" s="11" t="s">
        <v>20</v>
      </c>
      <c r="J5" s="17" t="s">
        <v>23</v>
      </c>
    </row>
    <row r="6" spans="1:12" x14ac:dyDescent="0.3">
      <c r="A6" s="10"/>
      <c r="B6" s="10"/>
      <c r="C6" s="10"/>
      <c r="D6" s="10"/>
      <c r="E6" s="10"/>
      <c r="F6" s="10"/>
    </row>
    <row r="7" spans="1:12" x14ac:dyDescent="0.3">
      <c r="A7" s="10"/>
      <c r="B7" s="10"/>
      <c r="C7" s="10"/>
      <c r="D7" s="10"/>
      <c r="E7" s="10"/>
      <c r="F7" s="10"/>
    </row>
    <row r="8" spans="1:12" x14ac:dyDescent="0.3">
      <c r="A8" s="10"/>
      <c r="B8" s="10"/>
      <c r="C8" s="10"/>
      <c r="D8" s="10"/>
      <c r="E8" s="10"/>
      <c r="F8" s="10"/>
    </row>
    <row r="10" spans="1:12" x14ac:dyDescent="0.3">
      <c r="A10" s="3" t="s">
        <v>3</v>
      </c>
      <c r="B10" s="19" t="s">
        <v>21</v>
      </c>
      <c r="C10" s="19"/>
      <c r="D10" s="19"/>
      <c r="E10" s="19"/>
      <c r="F10" s="19"/>
      <c r="G10" s="19"/>
      <c r="H10" s="19"/>
      <c r="I10" s="19"/>
      <c r="J10" s="19"/>
      <c r="K10" s="1"/>
      <c r="L10" s="1"/>
    </row>
    <row r="11" spans="1:12" ht="15" thickBot="1" x14ac:dyDescent="0.35">
      <c r="A11" s="3"/>
      <c r="B11" s="1"/>
      <c r="C11" s="1"/>
      <c r="D11" s="1"/>
      <c r="E11" s="2"/>
      <c r="F11" s="1"/>
      <c r="G11" s="9"/>
      <c r="H11" s="12"/>
      <c r="I11" s="1"/>
      <c r="J11" s="1"/>
      <c r="K11" s="1"/>
      <c r="L11" s="1"/>
    </row>
    <row r="12" spans="1:12" ht="15" thickBot="1" x14ac:dyDescent="0.35">
      <c r="A12" s="4" t="s">
        <v>4</v>
      </c>
      <c r="B12" s="5" t="s">
        <v>13</v>
      </c>
      <c r="C12" s="5" t="s">
        <v>6</v>
      </c>
      <c r="D12" s="5" t="s">
        <v>7</v>
      </c>
      <c r="E12" s="5" t="s">
        <v>5</v>
      </c>
      <c r="F12" s="5" t="s">
        <v>10</v>
      </c>
      <c r="G12" s="5" t="s">
        <v>18</v>
      </c>
      <c r="H12" s="5" t="s">
        <v>17</v>
      </c>
      <c r="I12" s="5" t="s">
        <v>19</v>
      </c>
      <c r="J12" s="6" t="s">
        <v>8</v>
      </c>
    </row>
    <row r="13" spans="1:12" x14ac:dyDescent="0.3">
      <c r="A13" s="7" t="s">
        <v>25</v>
      </c>
      <c r="B13" t="s">
        <v>24</v>
      </c>
      <c r="C13">
        <v>30000</v>
      </c>
      <c r="D13" t="s">
        <v>12</v>
      </c>
      <c r="E13" t="s">
        <v>16</v>
      </c>
      <c r="F13">
        <v>5781.39</v>
      </c>
      <c r="G13">
        <v>0.35707</v>
      </c>
      <c r="H13">
        <v>5779.3213999999998</v>
      </c>
      <c r="I13">
        <v>0.35514000000000001</v>
      </c>
      <c r="J13" s="13" t="s">
        <v>27</v>
      </c>
    </row>
    <row r="14" spans="1:12" x14ac:dyDescent="0.3">
      <c r="A14" s="7" t="s">
        <v>26</v>
      </c>
      <c r="B14" t="s">
        <v>28</v>
      </c>
      <c r="C14">
        <v>30000</v>
      </c>
      <c r="D14" t="s">
        <v>12</v>
      </c>
      <c r="E14" t="s">
        <v>16</v>
      </c>
      <c r="F14">
        <v>6333</v>
      </c>
      <c r="G14">
        <v>0.34183999999999998</v>
      </c>
      <c r="H14">
        <v>6303.3919999999998</v>
      </c>
      <c r="I14">
        <v>0.35376999999999997</v>
      </c>
      <c r="J14" s="13"/>
    </row>
    <row r="15" spans="1:12" x14ac:dyDescent="0.3">
      <c r="A15" s="7" t="s">
        <v>29</v>
      </c>
      <c r="B15" t="s">
        <v>28</v>
      </c>
      <c r="C15">
        <v>30000</v>
      </c>
      <c r="D15" t="s">
        <v>12</v>
      </c>
      <c r="E15" t="s">
        <v>16</v>
      </c>
      <c r="F15">
        <v>6666.06</v>
      </c>
      <c r="G15">
        <v>0.33123000000000002</v>
      </c>
      <c r="H15">
        <v>6661.7876999999999</v>
      </c>
      <c r="I15">
        <v>0.36474000000000001</v>
      </c>
      <c r="J15" s="13"/>
    </row>
    <row r="16" spans="1:12" x14ac:dyDescent="0.3">
      <c r="A16" s="7" t="s">
        <v>30</v>
      </c>
      <c r="B16" t="s">
        <v>24</v>
      </c>
      <c r="C16">
        <v>30000</v>
      </c>
      <c r="D16" t="s">
        <v>12</v>
      </c>
      <c r="E16" t="s">
        <v>16</v>
      </c>
      <c r="F16">
        <v>6270.15</v>
      </c>
      <c r="G16">
        <v>0.28537000000000001</v>
      </c>
      <c r="H16">
        <v>6227.4</v>
      </c>
      <c r="I16">
        <v>0.36174000000000001</v>
      </c>
      <c r="J16" s="13"/>
    </row>
    <row r="17" spans="1:13" x14ac:dyDescent="0.3">
      <c r="A17" s="7" t="s">
        <v>31</v>
      </c>
      <c r="B17" t="s">
        <v>24</v>
      </c>
      <c r="C17">
        <v>30000</v>
      </c>
      <c r="D17" t="s">
        <v>12</v>
      </c>
      <c r="E17" t="s">
        <v>16</v>
      </c>
      <c r="F17">
        <v>6082.53</v>
      </c>
      <c r="G17">
        <v>0.33362999999999998</v>
      </c>
      <c r="H17">
        <v>6055.2040999999999</v>
      </c>
      <c r="I17">
        <v>0.38412000000000002</v>
      </c>
      <c r="J17" s="13"/>
    </row>
    <row r="18" spans="1:13" x14ac:dyDescent="0.3">
      <c r="A18" s="7" t="s">
        <v>32</v>
      </c>
      <c r="B18" t="s">
        <v>24</v>
      </c>
      <c r="C18">
        <v>30000</v>
      </c>
      <c r="D18" t="s">
        <v>12</v>
      </c>
      <c r="E18" t="s">
        <v>16</v>
      </c>
      <c r="J18" s="18" t="s">
        <v>35</v>
      </c>
    </row>
    <row r="19" spans="1:13" x14ac:dyDescent="0.3">
      <c r="A19" s="7" t="s">
        <v>33</v>
      </c>
      <c r="B19" t="s">
        <v>24</v>
      </c>
      <c r="C19">
        <v>30000</v>
      </c>
      <c r="D19" t="s">
        <v>12</v>
      </c>
      <c r="E19" t="s">
        <v>16</v>
      </c>
      <c r="F19">
        <v>6218.55</v>
      </c>
      <c r="G19">
        <v>0.30861</v>
      </c>
      <c r="H19">
        <v>6198.5946999999996</v>
      </c>
      <c r="I19">
        <v>0.33593000000000001</v>
      </c>
      <c r="J19" s="8"/>
    </row>
    <row r="20" spans="1:13" x14ac:dyDescent="0.3">
      <c r="A20" s="7" t="s">
        <v>34</v>
      </c>
      <c r="B20" t="s">
        <v>24</v>
      </c>
      <c r="C20">
        <v>30000</v>
      </c>
      <c r="D20" t="s">
        <v>12</v>
      </c>
      <c r="E20" t="s">
        <v>16</v>
      </c>
      <c r="F20">
        <v>6291.75</v>
      </c>
      <c r="G20">
        <v>0.31074000000000002</v>
      </c>
      <c r="H20">
        <v>6272.2298000000001</v>
      </c>
      <c r="I20">
        <v>0.37644</v>
      </c>
      <c r="J20" s="16" t="s">
        <v>36</v>
      </c>
    </row>
    <row r="21" spans="1:13" x14ac:dyDescent="0.3">
      <c r="A21" s="7"/>
      <c r="F21">
        <f>AVERAGE(F13:F20)/1000</f>
        <v>6.2347757142857141</v>
      </c>
      <c r="G21">
        <f>AVERAGE(G13:G20)*1000</f>
        <v>324.07</v>
      </c>
      <c r="J21" s="8"/>
    </row>
    <row r="22" spans="1:13" x14ac:dyDescent="0.3">
      <c r="A22" s="7"/>
      <c r="J22" s="8"/>
    </row>
    <row r="23" spans="1:13" x14ac:dyDescent="0.3">
      <c r="A23" s="7"/>
      <c r="J23" s="8"/>
    </row>
    <row r="24" spans="1:13" x14ac:dyDescent="0.3">
      <c r="A24" s="7"/>
      <c r="J24" s="8"/>
    </row>
    <row r="25" spans="1:13" x14ac:dyDescent="0.3">
      <c r="A25" s="7"/>
      <c r="J25" s="8"/>
    </row>
    <row r="26" spans="1:13" x14ac:dyDescent="0.3">
      <c r="A26" s="7"/>
      <c r="J26" s="8"/>
    </row>
    <row r="27" spans="1:13" x14ac:dyDescent="0.3">
      <c r="A27" s="7"/>
      <c r="J27" s="8"/>
    </row>
    <row r="28" spans="1:13" x14ac:dyDescent="0.3">
      <c r="A28" s="7"/>
      <c r="J28" s="8"/>
    </row>
    <row r="29" spans="1:13" x14ac:dyDescent="0.3">
      <c r="A29" s="7"/>
      <c r="J29" s="8"/>
    </row>
    <row r="30" spans="1:13" x14ac:dyDescent="0.3">
      <c r="A30" s="7"/>
      <c r="J30" s="8"/>
    </row>
    <row r="31" spans="1:13" x14ac:dyDescent="0.3">
      <c r="A31" s="7"/>
    </row>
    <row r="32" spans="1:13" x14ac:dyDescent="0.3">
      <c r="A32" s="7"/>
      <c r="L32" s="8"/>
      <c r="M32" s="8"/>
    </row>
    <row r="33" spans="1:10" x14ac:dyDescent="0.3">
      <c r="A33" s="7"/>
      <c r="I33" s="14"/>
    </row>
    <row r="34" spans="1:10" x14ac:dyDescent="0.3">
      <c r="A34" s="7"/>
    </row>
    <row r="35" spans="1:10" x14ac:dyDescent="0.3">
      <c r="A35" s="7"/>
    </row>
    <row r="36" spans="1:10" x14ac:dyDescent="0.3">
      <c r="A36" s="7"/>
    </row>
    <row r="37" spans="1:10" x14ac:dyDescent="0.3">
      <c r="A37" s="7"/>
    </row>
    <row r="38" spans="1:10" x14ac:dyDescent="0.3">
      <c r="A38" s="7"/>
    </row>
    <row r="39" spans="1:10" x14ac:dyDescent="0.3">
      <c r="A39" s="7"/>
      <c r="J39" s="8"/>
    </row>
    <row r="40" spans="1:10" x14ac:dyDescent="0.3">
      <c r="A40" s="7"/>
    </row>
    <row r="41" spans="1:10" x14ac:dyDescent="0.3">
      <c r="A41" s="7"/>
      <c r="J41" s="8"/>
    </row>
    <row r="42" spans="1:10" x14ac:dyDescent="0.3">
      <c r="A42" s="7"/>
      <c r="J42" s="8"/>
    </row>
    <row r="43" spans="1:10" x14ac:dyDescent="0.3">
      <c r="A43" s="7"/>
      <c r="J43" s="8"/>
    </row>
    <row r="44" spans="1:10" x14ac:dyDescent="0.3">
      <c r="A44" s="7"/>
    </row>
    <row r="45" spans="1:10" x14ac:dyDescent="0.3">
      <c r="A45" s="7"/>
    </row>
    <row r="46" spans="1:10" x14ac:dyDescent="0.3">
      <c r="A46" s="7"/>
    </row>
    <row r="47" spans="1:10" x14ac:dyDescent="0.3">
      <c r="A47" s="7"/>
    </row>
    <row r="48" spans="1:10" x14ac:dyDescent="0.3">
      <c r="A48" s="7"/>
    </row>
    <row r="49" spans="1:1" x14ac:dyDescent="0.3">
      <c r="A49" s="7"/>
    </row>
    <row r="50" spans="1:1" x14ac:dyDescent="0.3">
      <c r="A50" s="7"/>
    </row>
    <row r="51" spans="1:1" x14ac:dyDescent="0.3">
      <c r="A51" s="7"/>
    </row>
    <row r="52" spans="1:1" x14ac:dyDescent="0.3">
      <c r="A52" s="7"/>
    </row>
    <row r="53" spans="1:1" x14ac:dyDescent="0.3">
      <c r="A53" s="7"/>
    </row>
    <row r="54" spans="1:1" x14ac:dyDescent="0.3">
      <c r="A54" s="7"/>
    </row>
    <row r="55" spans="1:1" x14ac:dyDescent="0.3">
      <c r="A55" s="7"/>
    </row>
    <row r="56" spans="1:1" x14ac:dyDescent="0.3">
      <c r="A56" s="7"/>
    </row>
    <row r="57" spans="1:1" x14ac:dyDescent="0.3">
      <c r="A57" s="7"/>
    </row>
    <row r="58" spans="1:1" x14ac:dyDescent="0.3">
      <c r="A58" s="7"/>
    </row>
    <row r="59" spans="1:1" x14ac:dyDescent="0.3">
      <c r="A59" s="7"/>
    </row>
    <row r="60" spans="1:1" x14ac:dyDescent="0.3">
      <c r="A60" s="7"/>
    </row>
    <row r="61" spans="1:1" x14ac:dyDescent="0.3">
      <c r="A61" s="7"/>
    </row>
    <row r="62" spans="1:1" x14ac:dyDescent="0.3">
      <c r="A62" s="7"/>
    </row>
    <row r="63" spans="1:1" x14ac:dyDescent="0.3">
      <c r="A63" s="7"/>
    </row>
    <row r="64" spans="1:1" x14ac:dyDescent="0.3">
      <c r="A64" s="7"/>
    </row>
    <row r="65" spans="1:10" x14ac:dyDescent="0.3">
      <c r="A65" s="7"/>
    </row>
    <row r="66" spans="1:10" x14ac:dyDescent="0.3">
      <c r="A66" s="7"/>
    </row>
    <row r="67" spans="1:10" x14ac:dyDescent="0.3">
      <c r="A67" s="7"/>
    </row>
    <row r="68" spans="1:10" x14ac:dyDescent="0.3">
      <c r="A68" s="7"/>
    </row>
    <row r="69" spans="1:10" x14ac:dyDescent="0.3">
      <c r="A69" s="7"/>
    </row>
    <row r="70" spans="1:10" x14ac:dyDescent="0.3">
      <c r="A70" s="7"/>
    </row>
    <row r="71" spans="1:10" x14ac:dyDescent="0.3">
      <c r="A71" s="7"/>
    </row>
    <row r="72" spans="1:10" x14ac:dyDescent="0.3">
      <c r="A72" s="7"/>
    </row>
    <row r="73" spans="1:10" x14ac:dyDescent="0.3">
      <c r="A73" s="7"/>
    </row>
    <row r="74" spans="1:10" x14ac:dyDescent="0.3">
      <c r="A74" s="7"/>
    </row>
    <row r="75" spans="1:10" x14ac:dyDescent="0.3">
      <c r="A75" s="7"/>
    </row>
    <row r="76" spans="1:10" x14ac:dyDescent="0.3">
      <c r="A76" s="7"/>
    </row>
    <row r="77" spans="1:10" x14ac:dyDescent="0.3">
      <c r="A77" s="7"/>
      <c r="J77" s="15"/>
    </row>
  </sheetData>
  <mergeCells count="2">
    <mergeCell ref="B10:J10"/>
    <mergeCell ref="A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19B0F76CBDC841B2D6C487173D6D4A" ma:contentTypeVersion="15" ma:contentTypeDescription="Create a new document." ma:contentTypeScope="" ma:versionID="86796134783448deef737083daf59e10">
  <xsd:schema xmlns:xsd="http://www.w3.org/2001/XMLSchema" xmlns:xs="http://www.w3.org/2001/XMLSchema" xmlns:p="http://schemas.microsoft.com/office/2006/metadata/properties" xmlns:ns2="bab41339-9ea5-4839-8f7e-4b25d934dda2" xmlns:ns3="bac4e3eb-747f-43bc-bf10-c1bbb893ecac" xmlns:ns4="a1f4a388-dd19-4c03-8035-3897d09331ec" targetNamespace="http://schemas.microsoft.com/office/2006/metadata/properties" ma:root="true" ma:fieldsID="76341c0e2af4448d38aae5b5486d7683" ns2:_="" ns3:_="" ns4:_="">
    <xsd:import namespace="bab41339-9ea5-4839-8f7e-4b25d934dda2"/>
    <xsd:import namespace="bac4e3eb-747f-43bc-bf10-c1bbb893ecac"/>
    <xsd:import namespace="a1f4a388-dd19-4c03-8035-3897d0933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4:SharedWithUsers" minOccurs="0"/>
                <xsd:element ref="ns4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41339-9ea5-4839-8f7e-4b25d934dd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4e3eb-747f-43bc-bf10-c1bbb893eca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a64498-31c2-4525-ba9f-46f993957d4f}" ma:internalName="TaxCatchAll" ma:showField="CatchAllData" ma:web="a1f4a388-dd19-4c03-8035-3897d0933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4a388-dd19-4c03-8035-3897d09331ec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c4e3eb-747f-43bc-bf10-c1bbb893ecac" xsi:nil="true"/>
    <lcf76f155ced4ddcb4097134ff3c332f xmlns="bab41339-9ea5-4839-8f7e-4b25d934dda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A206FE-59C8-482B-B590-D338DA2F79AD}"/>
</file>

<file path=customXml/itemProps2.xml><?xml version="1.0" encoding="utf-8"?>
<ds:datastoreItem xmlns:ds="http://schemas.openxmlformats.org/officeDocument/2006/customXml" ds:itemID="{A62FCD66-AC8B-432A-94F2-76FE4BE3EBEA}"/>
</file>

<file path=customXml/itemProps3.xml><?xml version="1.0" encoding="utf-8"?>
<ds:datastoreItem xmlns:ds="http://schemas.openxmlformats.org/officeDocument/2006/customXml" ds:itemID="{BF531B29-6DF7-4CCE-AC85-BF88A21594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415user</dc:creator>
  <cp:lastModifiedBy>AFRL_USER</cp:lastModifiedBy>
  <dcterms:created xsi:type="dcterms:W3CDTF">2024-06-20T16:45:36Z</dcterms:created>
  <dcterms:modified xsi:type="dcterms:W3CDTF">2025-07-15T14:28:03Z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0x0101003B19B0F76CBDC841B2D6C487173D6D4A</vt:lpwstr>
  </property>
</Properties>
</file>