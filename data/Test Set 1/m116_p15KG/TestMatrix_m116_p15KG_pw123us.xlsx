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1\m116_p15KG_pw123us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19" i="1" l="1"/>
  <c r="F19" i="1"/>
</calcChain>
</file>

<file path=xl/sharedStrings.xml><?xml version="1.0" encoding="utf-8"?>
<sst xmlns="http://schemas.openxmlformats.org/spreadsheetml/2006/main" count="49" uniqueCount="36">
  <si>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</si>
  <si>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</si>
  <si>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</si>
  <si>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</si>
  <si>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</si>
  <si>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</si>
  <si>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</si>
  <si>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</si>
  <si>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</si>
  <si>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</si>
  <si>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</si>
  <si>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</si>
  <si>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n/a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</si>
  <si>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</si>
  <si>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</si>
  <si>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</si>
  <si>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</si>
  <si>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</si>
  <si>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</si>
  <si>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</si>
  <si>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19" / 1/16th</t>
  </si>
  <si>
    <t>Base accel and resistor on the board. Meant to find # of impacts to failure at a given peak G and pulse width.</t>
  </si>
  <si>
    <t>26" / 1/16th</t>
  </si>
  <si>
    <t>t01_SET1_h26_m116-F1.txt</t>
  </si>
  <si>
    <t>resistor failed in one attempt. Tried to go too high</t>
  </si>
  <si>
    <t>t02_SET1_h24_m116-F1.txt</t>
  </si>
  <si>
    <t>24.5" / 1/16th</t>
  </si>
  <si>
    <t>new resistor, same board. Failure in one attempt</t>
  </si>
  <si>
    <t>new resistor, same board, aim for 10k</t>
  </si>
  <si>
    <t>t03_SET1_h19_m116-F1.txt</t>
  </si>
  <si>
    <t>t04_SET1_h19_m116-F1.txt</t>
  </si>
  <si>
    <t>t05_SET1_h19_m116-F1.txt</t>
  </si>
  <si>
    <t>t06_SET1_h19_m116-F1.txt</t>
  </si>
  <si>
    <t>resistor failure after 4 drops</t>
  </si>
  <si>
    <t>Start at height: 26 in, felt: 1/16th; aim for 15000 g, then aim for 10000 g after failure</t>
  </si>
  <si>
    <t>Set 1/Length 4.5/Board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</si>
</sst>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workbookViewId="0">
      <selection activeCell="J7" sqref="J7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8"/>
      <c r="K1" s="1"/>
      <c r="L1" s="1"/>
    </row>
    <row r="2" spans="1:12" x14ac:dyDescent="0.3">
      <c r="A2" s="11" t="s">
        <v>2</v>
      </c>
      <c r="B2" s="11" t="s">
        <v>9</v>
      </c>
      <c r="C2" s="11"/>
      <c r="D2" s="11"/>
      <c r="E2" s="11"/>
      <c r="F2" s="11"/>
    </row>
    <row r="3" spans="1:12" x14ac:dyDescent="0.3">
      <c r="A3" s="11" t="s">
        <v>0</v>
      </c>
      <c r="B3" s="11" t="s">
        <v>11</v>
      </c>
      <c r="C3" s="11"/>
      <c r="D3" s="11"/>
      <c r="E3" s="11"/>
      <c r="F3" s="11"/>
      <c r="I3" s="12"/>
    </row>
    <row r="4" spans="1:12" x14ac:dyDescent="0.3">
      <c r="A4" s="11" t="s">
        <v>1</v>
      </c>
      <c r="B4" s="11">
        <v>4.47</v>
      </c>
      <c r="C4" s="11"/>
      <c r="D4" s="11"/>
      <c r="E4" s="11"/>
      <c r="F4" s="11"/>
      <c r="I4" s="11" t="s">
        <v>14</v>
      </c>
      <c r="J4" t="s">
        <v>35</v>
      </c>
    </row>
    <row r="5" spans="1:12" ht="72" x14ac:dyDescent="0.3">
      <c r="A5" s="11"/>
      <c r="B5" s="11"/>
      <c r="C5" s="11"/>
      <c r="D5" s="11"/>
      <c r="E5" s="11"/>
      <c r="F5" s="11"/>
      <c r="I5" s="12" t="s">
        <v>21</v>
      </c>
    </row>
    <row r="6" spans="1:12" x14ac:dyDescent="0.3">
      <c r="A6" s="11"/>
      <c r="B6" s="11"/>
      <c r="C6" s="11"/>
      <c r="D6" s="11"/>
      <c r="E6" s="11"/>
      <c r="F6" s="11"/>
    </row>
    <row r="7" spans="1:12" x14ac:dyDescent="0.3">
      <c r="A7" s="11"/>
      <c r="B7" s="11"/>
      <c r="C7" s="11"/>
      <c r="D7" s="11"/>
      <c r="E7" s="11"/>
      <c r="F7" s="11"/>
    </row>
    <row r="8" spans="1:12" x14ac:dyDescent="0.3">
      <c r="A8" s="11"/>
      <c r="B8" s="11"/>
      <c r="C8" s="11"/>
      <c r="D8" s="11"/>
      <c r="E8" s="11"/>
      <c r="F8" s="11"/>
    </row>
    <row r="10" spans="1:12" x14ac:dyDescent="0.3">
      <c r="A10" s="3" t="s">
        <v>3</v>
      </c>
      <c r="B10" s="15" t="s">
        <v>34</v>
      </c>
      <c r="C10" s="15"/>
      <c r="D10" s="15"/>
      <c r="E10" s="15"/>
      <c r="F10" s="15"/>
      <c r="G10" s="15"/>
      <c r="H10" s="15"/>
      <c r="I10" s="15"/>
      <c r="J10" s="15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3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13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18</v>
      </c>
      <c r="H12" s="5" t="s">
        <v>17</v>
      </c>
      <c r="I12" s="5" t="s">
        <v>19</v>
      </c>
      <c r="J12" s="6" t="s">
        <v>8</v>
      </c>
    </row>
    <row r="13" spans="1:12" ht="28.8" x14ac:dyDescent="0.3">
      <c r="A13" s="7" t="s">
        <v>23</v>
      </c>
      <c r="B13" t="s">
        <v>22</v>
      </c>
      <c r="C13">
        <v>30000</v>
      </c>
      <c r="D13" t="s">
        <v>12</v>
      </c>
      <c r="E13" t="s">
        <v>16</v>
      </c>
      <c r="F13">
        <v>21448.6</v>
      </c>
      <c r="G13">
        <v>0.11</v>
      </c>
      <c r="H13">
        <v>21353.5183</v>
      </c>
      <c r="I13">
        <v>0.10888</v>
      </c>
      <c r="J13" s="14" t="s">
        <v>24</v>
      </c>
    </row>
    <row r="14" spans="1:12" ht="28.8" x14ac:dyDescent="0.3">
      <c r="A14" s="7" t="s">
        <v>25</v>
      </c>
      <c r="B14" t="s">
        <v>26</v>
      </c>
      <c r="C14">
        <v>30000</v>
      </c>
      <c r="D14" t="s">
        <v>12</v>
      </c>
      <c r="E14" t="s">
        <v>16</v>
      </c>
      <c r="F14">
        <v>15070</v>
      </c>
      <c r="G14">
        <v>0.121</v>
      </c>
      <c r="H14">
        <v>14982.184499999999</v>
      </c>
      <c r="I14">
        <v>0.1285</v>
      </c>
      <c r="J14" s="14" t="s">
        <v>27</v>
      </c>
    </row>
    <row r="15" spans="1:12" x14ac:dyDescent="0.3">
      <c r="A15" s="7" t="s">
        <v>29</v>
      </c>
      <c r="B15" t="s">
        <v>20</v>
      </c>
      <c r="C15">
        <v>30000</v>
      </c>
      <c r="D15" t="s">
        <v>12</v>
      </c>
      <c r="E15" t="s">
        <v>16</v>
      </c>
      <c r="F15">
        <v>10219.77</v>
      </c>
      <c r="G15">
        <v>0.13700000000000001</v>
      </c>
      <c r="H15">
        <v>9626.0650000000005</v>
      </c>
      <c r="I15">
        <v>0.14899999999999999</v>
      </c>
      <c r="J15" s="8" t="s">
        <v>28</v>
      </c>
    </row>
    <row r="16" spans="1:12" x14ac:dyDescent="0.3">
      <c r="A16" s="7" t="s">
        <v>30</v>
      </c>
      <c r="B16" t="s">
        <v>20</v>
      </c>
      <c r="C16">
        <v>30000</v>
      </c>
      <c r="D16" t="s">
        <v>12</v>
      </c>
      <c r="E16" t="s">
        <v>16</v>
      </c>
      <c r="F16">
        <v>10049.969999999999</v>
      </c>
      <c r="G16">
        <v>0.14699999999999999</v>
      </c>
      <c r="H16">
        <v>9716.1129000000001</v>
      </c>
      <c r="I16">
        <v>0.14899999999999999</v>
      </c>
      <c r="J16" s="8"/>
    </row>
    <row r="17" spans="1:13" x14ac:dyDescent="0.3">
      <c r="A17" s="7" t="s">
        <v>31</v>
      </c>
      <c r="B17" t="s">
        <v>20</v>
      </c>
      <c r="C17">
        <v>30000</v>
      </c>
      <c r="D17" t="s">
        <v>12</v>
      </c>
      <c r="E17" t="s">
        <v>16</v>
      </c>
      <c r="F17">
        <v>10701.99</v>
      </c>
      <c r="G17">
        <v>0.14699999999999999</v>
      </c>
      <c r="H17">
        <v>10240.790300000001</v>
      </c>
      <c r="I17">
        <v>0.14799999999999999</v>
      </c>
      <c r="J17" s="8"/>
    </row>
    <row r="18" spans="1:13" x14ac:dyDescent="0.3">
      <c r="A18" s="7" t="s">
        <v>32</v>
      </c>
      <c r="B18" t="s">
        <v>20</v>
      </c>
      <c r="C18">
        <v>30000</v>
      </c>
      <c r="D18" t="s">
        <v>12</v>
      </c>
      <c r="E18" t="s">
        <v>16</v>
      </c>
      <c r="F18">
        <v>10045.290000000001</v>
      </c>
      <c r="G18">
        <v>0.14699999999999999</v>
      </c>
      <c r="H18">
        <v>9905.3819000000003</v>
      </c>
      <c r="I18">
        <v>0.14899999999999999</v>
      </c>
      <c r="J18" s="14" t="s">
        <v>33</v>
      </c>
    </row>
    <row r="19" spans="1:13" x14ac:dyDescent="0.3">
      <c r="A19" s="7"/>
      <c r="F19">
        <f>AVERAGE(F15:F18)/1000</f>
        <v>10.254254999999999</v>
      </c>
      <c r="G19">
        <f>AVERAGE(G15:G18)*1000</f>
        <v>144.50000000000003</v>
      </c>
      <c r="J19" s="8"/>
    </row>
    <row r="20" spans="1:13" x14ac:dyDescent="0.3">
      <c r="A20" s="7"/>
      <c r="J20" s="8"/>
    </row>
    <row r="21" spans="1:13" x14ac:dyDescent="0.3">
      <c r="A21" s="7"/>
      <c r="J21" s="8"/>
    </row>
    <row r="22" spans="1:13" x14ac:dyDescent="0.3">
      <c r="A22" s="7"/>
      <c r="J22" s="8"/>
    </row>
    <row r="23" spans="1:13" x14ac:dyDescent="0.3">
      <c r="A23" s="7"/>
      <c r="J23" s="8"/>
    </row>
    <row r="24" spans="1:13" x14ac:dyDescent="0.3">
      <c r="A24" s="7"/>
      <c r="J24" s="8"/>
    </row>
    <row r="25" spans="1:13" x14ac:dyDescent="0.3">
      <c r="A25" s="7"/>
      <c r="J25" s="8"/>
    </row>
    <row r="26" spans="1:13" x14ac:dyDescent="0.3">
      <c r="A26" s="7"/>
      <c r="J26" s="8"/>
    </row>
    <row r="27" spans="1:13" x14ac:dyDescent="0.3">
      <c r="A27" s="7"/>
      <c r="J27" s="8"/>
    </row>
    <row r="28" spans="1:13" x14ac:dyDescent="0.3">
      <c r="A28" s="7"/>
      <c r="J28" s="8"/>
    </row>
    <row r="29" spans="1:13" x14ac:dyDescent="0.3">
      <c r="A29" s="7"/>
      <c r="J29" s="8"/>
    </row>
    <row r="30" spans="1:13" x14ac:dyDescent="0.3">
      <c r="A30" s="7"/>
      <c r="J30" s="8"/>
    </row>
    <row r="31" spans="1:13" x14ac:dyDescent="0.3">
      <c r="A31" s="7"/>
    </row>
    <row r="32" spans="1:13" x14ac:dyDescent="0.3">
      <c r="A32" s="7"/>
      <c r="L32" s="8"/>
      <c r="M32" s="8"/>
    </row>
    <row r="33" spans="1:10" x14ac:dyDescent="0.3">
      <c r="A33" s="7"/>
      <c r="I33" s="10"/>
    </row>
    <row r="34" spans="1:10" x14ac:dyDescent="0.3">
      <c r="A34" s="7"/>
    </row>
    <row r="35" spans="1:10" x14ac:dyDescent="0.3">
      <c r="A35" s="7"/>
    </row>
    <row r="39" spans="1:10" x14ac:dyDescent="0.3">
      <c r="J39" s="8"/>
    </row>
    <row r="41" spans="1:10" x14ac:dyDescent="0.3">
      <c r="B41" s="8"/>
      <c r="J41" s="8"/>
    </row>
    <row r="42" spans="1:10" x14ac:dyDescent="0.3">
      <c r="B42" s="8"/>
      <c r="J42" s="8"/>
    </row>
    <row r="43" spans="1:10" x14ac:dyDescent="0.3">
      <c r="B43" s="8"/>
      <c r="J43" s="8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F1D616-BB18-4933-8BA3-980CD5D0FB61}"/>
</file>

<file path=customXml/itemProps2.xml><?xml version="1.0" encoding="utf-8"?>
<ds:datastoreItem xmlns:ds="http://schemas.openxmlformats.org/officeDocument/2006/customXml" ds:itemID="{4E550E12-1658-4841-86D3-F0D2B566CF3F}"/>
</file>

<file path=customXml/itemProps3.xml><?xml version="1.0" encoding="utf-8"?>
<ds:datastoreItem xmlns:ds="http://schemas.openxmlformats.org/officeDocument/2006/customXml" ds:itemID="{DD6D7220-0DD2-46B4-ACEA-64894F19B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2025-06-24T15:14:10Z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