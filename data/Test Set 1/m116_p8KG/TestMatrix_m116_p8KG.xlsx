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RL_USER\Documents\2025 - Ryan Yount\Test Set 1\m116_p8KG\"/>
    </mc:Choice>
  </mc:AlternateContent>
  <xr:revisionPtr revIDLastSave="0" documentId="11_D87AABF8D55D49DAC4C45487906252EFC047AC97" xr6:coauthVersionLast="47" xr6:coauthVersionMax="47" xr10:uidLastSave="{00000000-0000-0000-0000-000000000000}"/>
  <bookViews>
    <workbookView xWindow="240" yWindow="240" windowWidth="32592" windowHeight="1513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F15" i="1"/>
</calcChain>
</file>

<file path=xl/sharedStrings.xml><?xml version="1.0" encoding="utf-8"?>
<sst xmlns="http://schemas.openxmlformats.org/spreadsheetml/2006/main" count="31" uniqueCount="28">
  <si>
    <t>Reference Testing for Peak and Pulse Width</t>
  </si>
  <si>
    <t>Base Accel</t>
  </si>
  <si>
    <t>7280A-60k</t>
  </si>
  <si>
    <t>S/N</t>
  </si>
  <si>
    <t>EN256</t>
  </si>
  <si>
    <t>Sens</t>
  </si>
  <si>
    <t>Test Description</t>
  </si>
  <si>
    <t>Set 1/Length 4.5/Board 03 (reuse)</t>
  </si>
  <si>
    <t>Base accel and resistor on the board. Meant to find # of impacts to failure at a given peak G and pulse width.</t>
  </si>
  <si>
    <t>Reusing B03 after testing with other felt (3rd use)</t>
  </si>
  <si>
    <t xml:space="preserve">Pre-Test Notes: </t>
  </si>
  <si>
    <t>Start at height: 15.5 in, felt: 1/16th; aim for 8000 g</t>
  </si>
  <si>
    <t>Filename</t>
  </si>
  <si>
    <t>Height/Mitigator</t>
  </si>
  <si>
    <t>FSIN Base</t>
  </si>
  <si>
    <t>FSIN/UNIT</t>
  </si>
  <si>
    <t>TEMP</t>
  </si>
  <si>
    <t>PEAK (g) Base</t>
  </si>
  <si>
    <t>Pulse Width (ms)</t>
  </si>
  <si>
    <t>PEAK (g) Filt</t>
  </si>
  <si>
    <t>Pulse Width (ms) Filt</t>
  </si>
  <si>
    <t>Comments</t>
  </si>
  <si>
    <t>t01_SET1_h15_m116-F1.txt</t>
  </si>
  <si>
    <t>15.5" / 1/16th</t>
  </si>
  <si>
    <t>n/a</t>
  </si>
  <si>
    <t>RT</t>
  </si>
  <si>
    <t>t02_SET1_h15_m116-F1.txt</t>
  </si>
  <si>
    <t>Resistor failure. Single pad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</si>
</sst>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Fill="1" applyAlignment="1">
      <alignment wrapText="1"/>
    </xf>
    <xf numFmtId="0" fontId="0" fillId="0" borderId="0" xfId="0" applyNumberFormat="1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"/>
  <sheetViews>
    <sheetView tabSelected="1" workbookViewId="0">
      <selection activeCell="D15" sqref="D15"/>
    </sheetView>
  </sheetViews>
  <sheetFormatPr defaultRowHeight="14.45"/>
  <cols>
    <col min="1" max="1" width="29.28515625" bestFit="1" customWidth="1"/>
    <col min="2" max="2" width="16" bestFit="1" customWidth="1"/>
    <col min="3" max="3" width="11" customWidth="1"/>
    <col min="4" max="4" width="10.140625" bestFit="1" customWidth="1"/>
    <col min="5" max="5" width="10.140625" customWidth="1"/>
    <col min="6" max="6" width="13.140625" bestFit="1" customWidth="1"/>
    <col min="7" max="7" width="18.5703125" bestFit="1" customWidth="1"/>
    <col min="8" max="8" width="11.7109375" bestFit="1" customWidth="1"/>
    <col min="9" max="9" width="22.5703125" customWidth="1"/>
    <col min="10" max="10" width="39.28515625" customWidth="1"/>
    <col min="11" max="11" width="12.140625" customWidth="1"/>
    <col min="12" max="13" width="21" bestFit="1" customWidth="1"/>
    <col min="15" max="15" width="21.85546875" bestFit="1" customWidth="1"/>
  </cols>
  <sheetData>
    <row r="1" spans="1:12" ht="15" thickBo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7"/>
      <c r="K1" s="13"/>
      <c r="L1" s="13"/>
    </row>
    <row r="2" spans="1:12">
      <c r="A2" s="7" t="s">
        <v>1</v>
      </c>
      <c r="B2" s="7" t="s">
        <v>2</v>
      </c>
      <c r="C2" s="7"/>
      <c r="D2" s="7"/>
      <c r="E2" s="7"/>
      <c r="F2" s="7"/>
    </row>
    <row r="3" spans="1:12">
      <c r="A3" s="7" t="s">
        <v>3</v>
      </c>
      <c r="B3" s="7" t="s">
        <v>4</v>
      </c>
      <c r="C3" s="7"/>
      <c r="D3" s="7"/>
      <c r="E3" s="7"/>
      <c r="F3" s="7"/>
      <c r="I3" s="8"/>
    </row>
    <row r="4" spans="1:12">
      <c r="A4" s="7" t="s">
        <v>5</v>
      </c>
      <c r="B4" s="7">
        <v>4.47</v>
      </c>
      <c r="C4" s="7"/>
      <c r="D4" s="7"/>
      <c r="E4" s="7"/>
      <c r="F4" s="7"/>
      <c r="I4" s="7" t="s">
        <v>6</v>
      </c>
      <c r="J4" t="s">
        <v>7</v>
      </c>
    </row>
    <row r="5" spans="1:12" ht="72">
      <c r="A5" s="7"/>
      <c r="B5" s="7"/>
      <c r="C5" s="7"/>
      <c r="D5" s="7"/>
      <c r="E5" s="7"/>
      <c r="F5" s="7"/>
      <c r="I5" s="8" t="s">
        <v>8</v>
      </c>
      <c r="J5" t="s">
        <v>9</v>
      </c>
    </row>
    <row r="6" spans="1:12">
      <c r="A6" s="7"/>
      <c r="B6" s="7"/>
      <c r="C6" s="7"/>
      <c r="D6" s="7"/>
      <c r="E6" s="7"/>
      <c r="F6" s="7"/>
    </row>
    <row r="7" spans="1:12">
      <c r="A7" s="7"/>
      <c r="B7" s="7"/>
      <c r="C7" s="7"/>
      <c r="D7" s="7"/>
      <c r="E7" s="7"/>
      <c r="F7" s="7"/>
    </row>
    <row r="8" spans="1:12">
      <c r="A8" s="7"/>
      <c r="B8" s="7"/>
      <c r="C8" s="7"/>
      <c r="D8" s="7"/>
      <c r="E8" s="7"/>
      <c r="F8" s="7"/>
    </row>
    <row r="10" spans="1:12">
      <c r="A10" s="1" t="s">
        <v>10</v>
      </c>
      <c r="B10" s="14" t="s">
        <v>11</v>
      </c>
      <c r="C10" s="14"/>
      <c r="D10" s="14"/>
      <c r="E10" s="14"/>
      <c r="F10" s="14"/>
      <c r="G10" s="14"/>
      <c r="H10" s="14"/>
      <c r="I10" s="14"/>
      <c r="J10" s="14"/>
      <c r="K10" s="13"/>
      <c r="L10" s="13"/>
    </row>
    <row r="11" spans="1:12" ht="15" thickBot="1">
      <c r="A11" s="1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 ht="15" thickBot="1">
      <c r="A12" s="2" t="s">
        <v>12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19</v>
      </c>
      <c r="I12" s="3" t="s">
        <v>20</v>
      </c>
      <c r="J12" s="4" t="s">
        <v>21</v>
      </c>
    </row>
    <row r="13" spans="1:12">
      <c r="A13" s="5" t="s">
        <v>22</v>
      </c>
      <c r="B13" t="s">
        <v>23</v>
      </c>
      <c r="C13">
        <v>30000</v>
      </c>
      <c r="D13" t="s">
        <v>24</v>
      </c>
      <c r="E13" t="s">
        <v>25</v>
      </c>
      <c r="F13">
        <v>7706.46</v>
      </c>
      <c r="G13">
        <v>0.13345000000000001</v>
      </c>
      <c r="H13">
        <v>7522.2560000000003</v>
      </c>
      <c r="I13">
        <v>0.17330000000000001</v>
      </c>
      <c r="J13" s="9"/>
    </row>
    <row r="14" spans="1:12">
      <c r="A14" s="5" t="s">
        <v>26</v>
      </c>
      <c r="B14" t="s">
        <v>23</v>
      </c>
      <c r="C14">
        <v>30000</v>
      </c>
      <c r="D14" t="s">
        <v>24</v>
      </c>
      <c r="E14" t="s">
        <v>25</v>
      </c>
      <c r="F14">
        <v>7677</v>
      </c>
      <c r="G14">
        <v>0.13100000000000001</v>
      </c>
      <c r="H14">
        <v>7652.3437000000004</v>
      </c>
      <c r="I14">
        <v>0.13371</v>
      </c>
      <c r="J14" s="12" t="s">
        <v>27</v>
      </c>
    </row>
    <row r="15" spans="1:12">
      <c r="A15" s="5"/>
      <c r="F15">
        <f>AVERAGE(F13:F14)/1000</f>
        <v>7.6917299999999997</v>
      </c>
      <c r="G15">
        <f>AVERAGE(G13:G14)*1000</f>
        <v>132.22500000000002</v>
      </c>
      <c r="J15" s="9"/>
    </row>
    <row r="16" spans="1:12">
      <c r="A16" s="5"/>
      <c r="J16" s="9"/>
    </row>
    <row r="17" spans="1:13">
      <c r="A17" s="5"/>
      <c r="J17" s="9"/>
    </row>
    <row r="18" spans="1:13">
      <c r="A18" s="5"/>
      <c r="J18" s="9"/>
    </row>
    <row r="19" spans="1:13">
      <c r="A19" s="5"/>
      <c r="J19" s="6"/>
    </row>
    <row r="20" spans="1:13">
      <c r="A20" s="5"/>
      <c r="J20" s="6"/>
    </row>
    <row r="21" spans="1:13">
      <c r="A21" s="5"/>
      <c r="J21" s="6"/>
    </row>
    <row r="22" spans="1:13">
      <c r="A22" s="5"/>
      <c r="J22" s="6"/>
    </row>
    <row r="23" spans="1:13">
      <c r="A23" s="5"/>
      <c r="J23" s="6"/>
    </row>
    <row r="24" spans="1:13">
      <c r="A24" s="5"/>
      <c r="J24" s="6"/>
    </row>
    <row r="25" spans="1:13">
      <c r="A25" s="5"/>
      <c r="J25" s="6"/>
    </row>
    <row r="26" spans="1:13">
      <c r="A26" s="5"/>
      <c r="J26" s="6"/>
    </row>
    <row r="27" spans="1:13">
      <c r="A27" s="5"/>
      <c r="J27" s="6"/>
    </row>
    <row r="28" spans="1:13">
      <c r="A28" s="5"/>
      <c r="J28" s="6"/>
    </row>
    <row r="29" spans="1:13">
      <c r="A29" s="5"/>
      <c r="J29" s="6"/>
    </row>
    <row r="30" spans="1:13">
      <c r="A30" s="5"/>
      <c r="J30" s="6"/>
    </row>
    <row r="31" spans="1:13">
      <c r="A31" s="5"/>
    </row>
    <row r="32" spans="1:13">
      <c r="A32" s="5"/>
      <c r="L32" s="6"/>
      <c r="M32" s="6"/>
    </row>
    <row r="33" spans="1:10">
      <c r="A33" s="5"/>
      <c r="I33" s="10"/>
    </row>
    <row r="34" spans="1:10">
      <c r="A34" s="5"/>
    </row>
    <row r="35" spans="1:10">
      <c r="A35" s="5"/>
    </row>
    <row r="36" spans="1:10">
      <c r="A36" s="5"/>
    </row>
    <row r="37" spans="1:10">
      <c r="A37" s="5"/>
    </row>
    <row r="38" spans="1:10">
      <c r="A38" s="5"/>
    </row>
    <row r="39" spans="1:10">
      <c r="A39" s="5"/>
      <c r="J39" s="6"/>
    </row>
    <row r="40" spans="1:10">
      <c r="A40" s="5"/>
    </row>
    <row r="41" spans="1:10">
      <c r="A41" s="5"/>
      <c r="J41" s="6"/>
    </row>
    <row r="42" spans="1:10">
      <c r="A42" s="5"/>
      <c r="J42" s="6"/>
    </row>
    <row r="43" spans="1:10">
      <c r="A43" s="5"/>
      <c r="J43" s="6"/>
    </row>
    <row r="44" spans="1:10">
      <c r="A44" s="5"/>
    </row>
    <row r="45" spans="1:10">
      <c r="A45" s="5"/>
    </row>
    <row r="46" spans="1:10">
      <c r="A46" s="5"/>
    </row>
    <row r="47" spans="1:10">
      <c r="A47" s="5"/>
    </row>
    <row r="48" spans="1:10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0">
      <c r="A65" s="5"/>
    </row>
    <row r="66" spans="1:10">
      <c r="A66" s="5"/>
    </row>
    <row r="67" spans="1:10">
      <c r="A67" s="5"/>
    </row>
    <row r="68" spans="1:10">
      <c r="A68" s="5"/>
    </row>
    <row r="69" spans="1:10">
      <c r="A69" s="5"/>
    </row>
    <row r="70" spans="1:10">
      <c r="A70" s="5"/>
    </row>
    <row r="71" spans="1:10">
      <c r="A71" s="5"/>
    </row>
    <row r="72" spans="1:10">
      <c r="A72" s="5"/>
    </row>
    <row r="73" spans="1:10">
      <c r="A73" s="5"/>
    </row>
    <row r="74" spans="1:10">
      <c r="A74" s="5"/>
    </row>
    <row r="75" spans="1:10">
      <c r="A75" s="5"/>
    </row>
    <row r="76" spans="1:10">
      <c r="A76" s="5"/>
    </row>
    <row r="77" spans="1:10">
      <c r="A77" s="5"/>
      <c r="J77" s="11"/>
    </row>
  </sheetData>
  <mergeCells count="2">
    <mergeCell ref="B10:J10"/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c4e3eb-747f-43bc-bf10-c1bbb893ecac" xsi:nil="true"/>
    <lcf76f155ced4ddcb4097134ff3c332f xmlns="bab41339-9ea5-4839-8f7e-4b25d934dda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9B0F76CBDC841B2D6C487173D6D4A" ma:contentTypeVersion="15" ma:contentTypeDescription="Create a new document." ma:contentTypeScope="" ma:versionID="86796134783448deef737083daf59e10">
  <xsd:schema xmlns:xsd="http://www.w3.org/2001/XMLSchema" xmlns:xs="http://www.w3.org/2001/XMLSchema" xmlns:p="http://schemas.microsoft.com/office/2006/metadata/properties" xmlns:ns2="bab41339-9ea5-4839-8f7e-4b25d934dda2" xmlns:ns3="bac4e3eb-747f-43bc-bf10-c1bbb893ecac" xmlns:ns4="a1f4a388-dd19-4c03-8035-3897d09331ec" targetNamespace="http://schemas.microsoft.com/office/2006/metadata/properties" ma:root="true" ma:fieldsID="76341c0e2af4448d38aae5b5486d7683" ns2:_="" ns3:_="" ns4:_="">
    <xsd:import namespace="bab41339-9ea5-4839-8f7e-4b25d934dda2"/>
    <xsd:import namespace="bac4e3eb-747f-43bc-bf10-c1bbb893ecac"/>
    <xsd:import namespace="a1f4a388-dd19-4c03-8035-3897d0933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41339-9ea5-4839-8f7e-4b25d934d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64498-31c2-4525-ba9f-46f993957d4f}" ma:internalName="TaxCatchAll" ma:showField="CatchAllData" ma:web="a1f4a388-dd19-4c03-8035-3897d0933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4a388-dd19-4c03-8035-3897d09331e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EB249C-8E93-474A-AC14-12D0DE7276CD}"/>
</file>

<file path=customXml/itemProps2.xml><?xml version="1.0" encoding="utf-8"?>
<ds:datastoreItem xmlns:ds="http://schemas.openxmlformats.org/officeDocument/2006/customXml" ds:itemID="{9995954C-0CC3-439C-AE24-5E477DD20555}"/>
</file>

<file path=customXml/itemProps3.xml><?xml version="1.0" encoding="utf-8"?>
<ds:datastoreItem xmlns:ds="http://schemas.openxmlformats.org/officeDocument/2006/customXml" ds:itemID="{6C78C11E-253D-4324-AB33-390E5F2E9B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415user</dc:creator>
  <cp:keywords/>
  <dc:description/>
  <cp:lastModifiedBy>ABUMOHAIMED, FAHAD A DR-01 USAF AFMC AFRL/RWTOF</cp:lastModifiedBy>
  <cp:revision/>
  <dcterms:created xsi:type="dcterms:W3CDTF">2024-06-20T16:45:36Z</dcterms:created>
  <dcterms:modified xsi:type="dcterms:W3CDTF">2025-12-10T14:12:44Z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0x0101003B19B0F76CBDC841B2D6C487173D6D4A</vt:lpwstr>
  </property>
  <property fmtid="{D5CDD505-2E9C-101B-9397-08002B2CF9AE}" pid="3" name="MediaServiceImageTags">
    <vt:lpwstr/>
  </property>
</Properties>
</file>