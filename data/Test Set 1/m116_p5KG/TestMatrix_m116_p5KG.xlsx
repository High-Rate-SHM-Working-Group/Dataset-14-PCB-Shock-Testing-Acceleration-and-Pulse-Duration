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1\m116_p5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I78" i="1" l="1"/>
  <c r="H78" i="1"/>
  <c r="G78" i="1"/>
  <c r="F78" i="1"/>
</calcChain>
</file>

<file path=xl/sharedStrings.xml><?xml version="1.0" encoding="utf-8"?>
<sst xmlns="http://schemas.openxmlformats.org/spreadsheetml/2006/main" count="281" uniqueCount="94">
  <si>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</si>
  <si>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</si>
  <si>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</si>
  <si>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</si>
  <si>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</si>
  <si>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</si>
  <si>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</si>
  <si>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</si>
  <si>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</si>
  <si>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</si>
  <si>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</si>
  <si>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</si>
  <si>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n/a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</si>
  <si>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</si>
  <si>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</si>
  <si>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</si>
  <si>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</si>
  <si>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</si>
  <si>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</si>
  <si>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</si>
  <si>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Base accel and resistor on the board. Meant to find # of impacts to failure at a given peak G and pulse width.</t>
  </si>
  <si>
    <t>t01_SET1_h15_m116-F1.txt</t>
  </si>
  <si>
    <t>t02_SET1_h15_m116-F1.txt</t>
  </si>
  <si>
    <t>15" / 1/16th</t>
  </si>
  <si>
    <t>14.5" / 1/16th</t>
  </si>
  <si>
    <t>t03_SET1_h14_m116-F1.txt</t>
  </si>
  <si>
    <t>t04_SET1_h14_m116-F1.txt</t>
  </si>
  <si>
    <t>t05_SET1_h14_m116-F1.txt</t>
  </si>
  <si>
    <t>14" / 1/16th</t>
  </si>
  <si>
    <t>t06_SET1_h14_m116-F1.txt</t>
  </si>
  <si>
    <t>t07_SET1_h14_m116-F1.txt</t>
  </si>
  <si>
    <t>t08_SET1_h14_m116-F1.txt</t>
  </si>
  <si>
    <t>t09_SET1_h13_m116-F1.txt</t>
  </si>
  <si>
    <t>13.5" / 1/16th</t>
  </si>
  <si>
    <t>t10_SET1_h13_m116-F1.txt</t>
  </si>
  <si>
    <t>t11_SET1_h13_m116-F1.txt</t>
  </si>
  <si>
    <t>t12_SET1_h13_m116-F1.txt</t>
  </si>
  <si>
    <t>t13_SET1_h13_m116-F1.txt</t>
  </si>
  <si>
    <t>t14_SET1_h13_m116-F1.txt</t>
  </si>
  <si>
    <t>t15_SET1_h13_m116-F1.txt</t>
  </si>
  <si>
    <t>13" / 1/16th</t>
  </si>
  <si>
    <t>t16_SET1_h13_m116-F1.txt</t>
  </si>
  <si>
    <t>t17_SET1_h13_m116-F1.txt</t>
  </si>
  <si>
    <t>t18_SET1_h13_m116-F1.txt</t>
  </si>
  <si>
    <t>t19_SET1_h13_m116-F1.txt</t>
  </si>
  <si>
    <t>t20_SET1_h13_m116-F1.txt</t>
  </si>
  <si>
    <t>t21_SET1_h13_m116-F1.txt</t>
  </si>
  <si>
    <t>t22_SET1_h13_m116-F1.txt</t>
  </si>
  <si>
    <t>t23_SET1_h13_m116-F1.txt</t>
  </si>
  <si>
    <t>t24_SET1_h13_m116-F1.txt</t>
  </si>
  <si>
    <t>t25_SET1_h13_m116-F1.txt</t>
  </si>
  <si>
    <t>t26_SET1_h13_m116-F1.txt</t>
  </si>
  <si>
    <t>t27_SET1_h13_m116-F1.txt</t>
  </si>
  <si>
    <t>t28_SET1_h13_m116-F1.txt</t>
  </si>
  <si>
    <t>t29_SET1_h13_m116-F1.txt</t>
  </si>
  <si>
    <t>t30_SET1_h13_m116-F1.txt</t>
  </si>
  <si>
    <t>t31_SET1_h13_m116-F1.txt</t>
  </si>
  <si>
    <t>t32_SET1_h13_m116-F1.txt</t>
  </si>
  <si>
    <t>t33_SET1_h13_m116-F1.txt</t>
  </si>
  <si>
    <t>t34_SET1_h13_m116-F1.txt</t>
  </si>
  <si>
    <t>t35_SET1_h13_m116-F1.txt</t>
  </si>
  <si>
    <t>t36_SET1_h13_m116-F1.txt</t>
  </si>
  <si>
    <t>t37_SET1_h13_m116-F1.txt</t>
  </si>
  <si>
    <t>t38_SET1_h13_m116-F1.txt</t>
  </si>
  <si>
    <t>t39_SET1_h13_m116-F1.txt</t>
  </si>
  <si>
    <t>t40_SET1_h13_m116-F1.txt</t>
  </si>
  <si>
    <t>t41_SET1_h13_m116-F1.txt</t>
  </si>
  <si>
    <t>12.5" / 1/16th</t>
  </si>
  <si>
    <t>t42_SET1_h12_m116-F1.txt</t>
  </si>
  <si>
    <t>t43_SET1_h12_m116-F1.txt</t>
  </si>
  <si>
    <t>t44_SET1_h12_m116-F1.txt</t>
  </si>
  <si>
    <t>t45_SET1_h12_m116-F1.txt</t>
  </si>
  <si>
    <t>t46_SET1_h12_m116-F1.txt</t>
  </si>
  <si>
    <t>t47_SET1_h12_m116-F1.txt</t>
  </si>
  <si>
    <t>t48_SET1_h12_m116-F1.txt</t>
  </si>
  <si>
    <t>t49_SET1_h12_m116-F1.txt</t>
  </si>
  <si>
    <t>t50_SET1_h12_m116-F1.txt</t>
  </si>
  <si>
    <t>t51_SET1_h12_m116-F1.txt</t>
  </si>
  <si>
    <t>t52_SET1_h12_m116-F1.txt</t>
  </si>
  <si>
    <t>t53_SET1_h12_m116-F1.txt</t>
  </si>
  <si>
    <t>t54_SET1_h12_m116-F1.txt</t>
  </si>
  <si>
    <t>t55_SET1_h12_m116-F1.txt</t>
  </si>
  <si>
    <t>t56_SET1_h12_m116-F1.txt</t>
  </si>
  <si>
    <t>t57_SET1_h13_m116-F1.txt</t>
  </si>
  <si>
    <t>t58_SET1_h13_m116-F1.txt</t>
  </si>
  <si>
    <t>t59_SET1_h13_m116-F1.txt</t>
  </si>
  <si>
    <t>t60_SET1_h13_m116-F1.txt</t>
  </si>
  <si>
    <t>t61_SET1_h13_m116-F1.txt</t>
  </si>
  <si>
    <t>t62_SET1_h14_m116-F1.txt</t>
  </si>
  <si>
    <t>t63_SET1_h14_m116-F1.txt</t>
  </si>
  <si>
    <t>t64_SET1_h14_m116-F1.txt</t>
  </si>
  <si>
    <t>t65_SET1_h14_m116-F1.txt</t>
  </si>
  <si>
    <t>Resistor failure. Only one solder joint failed.</t>
  </si>
  <si>
    <t>Start at height: 15 in, felt: 1/16th; aim for 5000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</si>
</sst>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topLeftCell="A55" workbookViewId="0">
      <selection activeCell="D80" sqref="D80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7" t="s">
        <v>15</v>
      </c>
      <c r="B1" s="18"/>
      <c r="C1" s="18"/>
      <c r="D1" s="18"/>
      <c r="E1" s="18"/>
      <c r="F1" s="18"/>
      <c r="G1" s="18"/>
      <c r="H1" s="18"/>
      <c r="I1" s="18"/>
      <c r="J1" s="19"/>
      <c r="K1" s="1"/>
    </row>
    <row r="2" spans="1:12" x14ac:dyDescent="0.3">
      <c r="A2" s="10" t="s">
        <v>2</v>
      </c>
      <c r="B2" s="10" t="s">
        <v>9</v>
      </c>
      <c r="C2" s="10"/>
      <c r="D2" s="10"/>
      <c r="E2" s="10"/>
      <c r="F2" s="10"/>
    </row>
    <row r="3" spans="1:12" x14ac:dyDescent="0.3">
      <c r="A3" s="10" t="s">
        <v>0</v>
      </c>
      <c r="B3" s="10" t="s">
        <v>11</v>
      </c>
      <c r="C3" s="10"/>
      <c r="D3" s="10"/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/>
      <c r="E4" s="10"/>
      <c r="F4" s="10"/>
      <c r="I4" s="10" t="s">
        <v>14</v>
      </c>
    </row>
    <row r="5" spans="1:12" ht="72" x14ac:dyDescent="0.3">
      <c r="A5" s="10"/>
      <c r="B5" s="10"/>
      <c r="C5" s="10"/>
      <c r="D5" s="10"/>
      <c r="E5" s="10"/>
      <c r="F5" s="10"/>
      <c r="I5" s="11" t="s">
        <v>20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6" t="s">
        <v>93</v>
      </c>
      <c r="C10" s="16"/>
      <c r="D10" s="16"/>
      <c r="E10" s="16"/>
      <c r="F10" s="16"/>
      <c r="G10" s="16"/>
      <c r="H10" s="16"/>
      <c r="I10" s="16"/>
      <c r="J10" s="16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13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18</v>
      </c>
      <c r="H12" s="5" t="s">
        <v>17</v>
      </c>
      <c r="I12" s="5" t="s">
        <v>19</v>
      </c>
      <c r="J12" s="6" t="s">
        <v>8</v>
      </c>
    </row>
    <row r="13" spans="1:12" x14ac:dyDescent="0.3">
      <c r="A13" s="7" t="s">
        <v>21</v>
      </c>
      <c r="B13" t="s">
        <v>23</v>
      </c>
      <c r="C13">
        <v>30000</v>
      </c>
      <c r="D13" t="s">
        <v>12</v>
      </c>
      <c r="E13" t="s">
        <v>16</v>
      </c>
      <c r="F13">
        <v>5143.4399999999996</v>
      </c>
      <c r="G13">
        <v>0.18148</v>
      </c>
      <c r="H13">
        <v>4743.7190000000001</v>
      </c>
      <c r="I13">
        <v>0.19466</v>
      </c>
      <c r="J13" s="13"/>
    </row>
    <row r="14" spans="1:12" x14ac:dyDescent="0.3">
      <c r="A14" s="7" t="s">
        <v>22</v>
      </c>
      <c r="B14" t="s">
        <v>23</v>
      </c>
      <c r="C14">
        <v>30000</v>
      </c>
      <c r="D14" t="s">
        <v>12</v>
      </c>
      <c r="E14" t="s">
        <v>16</v>
      </c>
      <c r="F14">
        <v>5911.77</v>
      </c>
      <c r="G14">
        <v>0.17016000000000001</v>
      </c>
      <c r="H14">
        <v>5562.2443999999996</v>
      </c>
      <c r="I14">
        <v>0.19542000000000001</v>
      </c>
      <c r="J14" s="13"/>
    </row>
    <row r="15" spans="1:12" x14ac:dyDescent="0.3">
      <c r="A15" s="7" t="s">
        <v>25</v>
      </c>
      <c r="B15" t="s">
        <v>24</v>
      </c>
      <c r="C15">
        <v>30000</v>
      </c>
      <c r="D15" t="s">
        <v>12</v>
      </c>
      <c r="E15" t="s">
        <v>16</v>
      </c>
      <c r="F15">
        <v>5400.48</v>
      </c>
      <c r="G15">
        <v>0.17279</v>
      </c>
      <c r="H15">
        <v>5077.3073000000004</v>
      </c>
      <c r="I15">
        <v>0.19117000000000001</v>
      </c>
      <c r="J15" s="13"/>
    </row>
    <row r="16" spans="1:12" x14ac:dyDescent="0.3">
      <c r="A16" s="7" t="s">
        <v>26</v>
      </c>
      <c r="B16" t="s">
        <v>24</v>
      </c>
      <c r="C16">
        <v>30000</v>
      </c>
      <c r="D16" t="s">
        <v>12</v>
      </c>
      <c r="E16" t="s">
        <v>16</v>
      </c>
      <c r="F16">
        <v>6015.93</v>
      </c>
      <c r="G16">
        <v>0.16907</v>
      </c>
      <c r="H16">
        <v>5471.6098000000002</v>
      </c>
      <c r="I16">
        <v>0.18753</v>
      </c>
      <c r="J16" s="13"/>
    </row>
    <row r="17" spans="1:13" x14ac:dyDescent="0.3">
      <c r="A17" s="7" t="s">
        <v>27</v>
      </c>
      <c r="B17" t="s">
        <v>28</v>
      </c>
      <c r="C17">
        <v>30000</v>
      </c>
      <c r="D17" t="s">
        <v>12</v>
      </c>
      <c r="E17" t="s">
        <v>16</v>
      </c>
      <c r="F17">
        <v>5116.2299999999996</v>
      </c>
      <c r="G17">
        <v>0.17363000000000001</v>
      </c>
      <c r="H17">
        <v>4944.0465000000004</v>
      </c>
      <c r="I17">
        <v>0.18667</v>
      </c>
      <c r="J17" s="13"/>
    </row>
    <row r="18" spans="1:13" x14ac:dyDescent="0.3">
      <c r="A18" s="7" t="s">
        <v>29</v>
      </c>
      <c r="B18" t="s">
        <v>28</v>
      </c>
      <c r="C18">
        <v>30000</v>
      </c>
      <c r="D18" t="s">
        <v>12</v>
      </c>
      <c r="E18" t="s">
        <v>16</v>
      </c>
      <c r="F18">
        <v>5715.72</v>
      </c>
      <c r="G18">
        <v>0.17834</v>
      </c>
      <c r="H18">
        <v>5320.1215000000002</v>
      </c>
      <c r="I18">
        <v>0.19678999999999999</v>
      </c>
      <c r="J18" s="13"/>
    </row>
    <row r="19" spans="1:13" x14ac:dyDescent="0.3">
      <c r="A19" s="7" t="s">
        <v>30</v>
      </c>
      <c r="B19" t="s">
        <v>28</v>
      </c>
      <c r="C19">
        <v>30000</v>
      </c>
      <c r="D19" t="s">
        <v>12</v>
      </c>
      <c r="E19" t="s">
        <v>16</v>
      </c>
      <c r="F19">
        <v>5454.9</v>
      </c>
      <c r="G19">
        <v>0.18149999999999999</v>
      </c>
      <c r="H19">
        <v>5229.4964</v>
      </c>
      <c r="I19">
        <v>0.19792999999999999</v>
      </c>
      <c r="J19" s="8"/>
    </row>
    <row r="20" spans="1:13" x14ac:dyDescent="0.3">
      <c r="A20" s="7" t="s">
        <v>31</v>
      </c>
      <c r="B20" t="s">
        <v>28</v>
      </c>
      <c r="C20">
        <v>30000</v>
      </c>
      <c r="D20" t="s">
        <v>12</v>
      </c>
      <c r="E20" t="s">
        <v>16</v>
      </c>
      <c r="F20">
        <v>5961.51</v>
      </c>
      <c r="G20">
        <v>0.16063</v>
      </c>
      <c r="H20">
        <v>5718.2665999999999</v>
      </c>
      <c r="I20">
        <v>0.19658</v>
      </c>
      <c r="J20" s="8"/>
    </row>
    <row r="21" spans="1:13" x14ac:dyDescent="0.3">
      <c r="A21" s="7" t="s">
        <v>32</v>
      </c>
      <c r="B21" t="s">
        <v>33</v>
      </c>
      <c r="C21">
        <v>30000</v>
      </c>
      <c r="D21" t="s">
        <v>12</v>
      </c>
      <c r="E21" t="s">
        <v>16</v>
      </c>
      <c r="F21">
        <v>5650.05</v>
      </c>
      <c r="G21">
        <v>0.17888999999999999</v>
      </c>
      <c r="H21">
        <v>5243.5240999999996</v>
      </c>
      <c r="I21">
        <v>0.20280999999999999</v>
      </c>
      <c r="J21" s="8"/>
    </row>
    <row r="22" spans="1:13" x14ac:dyDescent="0.3">
      <c r="A22" s="7" t="s">
        <v>34</v>
      </c>
      <c r="B22" t="s">
        <v>33</v>
      </c>
      <c r="C22">
        <v>30000</v>
      </c>
      <c r="D22" t="s">
        <v>12</v>
      </c>
      <c r="E22" t="s">
        <v>16</v>
      </c>
      <c r="F22">
        <v>5314.17</v>
      </c>
      <c r="G22">
        <v>0.18844</v>
      </c>
      <c r="H22">
        <v>5035.2484999999997</v>
      </c>
      <c r="I22">
        <v>0.20468</v>
      </c>
      <c r="J22" s="8"/>
    </row>
    <row r="23" spans="1:13" x14ac:dyDescent="0.3">
      <c r="A23" s="7" t="s">
        <v>35</v>
      </c>
      <c r="B23" t="s">
        <v>33</v>
      </c>
      <c r="C23">
        <v>30000</v>
      </c>
      <c r="D23" t="s">
        <v>12</v>
      </c>
      <c r="E23" t="s">
        <v>16</v>
      </c>
      <c r="F23">
        <v>5544.03</v>
      </c>
      <c r="G23">
        <v>0.18925</v>
      </c>
      <c r="H23">
        <v>5196.2299999999996</v>
      </c>
      <c r="I23">
        <v>0.19528999999999999</v>
      </c>
      <c r="J23" s="8"/>
    </row>
    <row r="24" spans="1:13" x14ac:dyDescent="0.3">
      <c r="A24" s="7" t="s">
        <v>36</v>
      </c>
      <c r="B24" t="s">
        <v>33</v>
      </c>
      <c r="C24">
        <v>30000</v>
      </c>
      <c r="D24" t="s">
        <v>12</v>
      </c>
      <c r="E24" t="s">
        <v>16</v>
      </c>
      <c r="F24">
        <v>5971.83</v>
      </c>
      <c r="G24">
        <v>0.16209999999999999</v>
      </c>
      <c r="H24">
        <v>5352.6579000000002</v>
      </c>
      <c r="I24">
        <v>0.19716</v>
      </c>
      <c r="J24" s="8"/>
    </row>
    <row r="25" spans="1:13" x14ac:dyDescent="0.3">
      <c r="A25" s="7" t="s">
        <v>37</v>
      </c>
      <c r="B25" t="s">
        <v>40</v>
      </c>
      <c r="C25">
        <v>30000</v>
      </c>
      <c r="D25" t="s">
        <v>12</v>
      </c>
      <c r="E25" t="s">
        <v>16</v>
      </c>
      <c r="F25">
        <v>5471.79</v>
      </c>
      <c r="G25">
        <v>0.16597999999999999</v>
      </c>
      <c r="H25">
        <v>5299.6696000000002</v>
      </c>
      <c r="I25">
        <v>0.19367999999999999</v>
      </c>
      <c r="J25" s="8"/>
    </row>
    <row r="26" spans="1:13" x14ac:dyDescent="0.3">
      <c r="A26" s="7" t="s">
        <v>38</v>
      </c>
      <c r="B26" t="s">
        <v>40</v>
      </c>
      <c r="C26">
        <v>30000</v>
      </c>
      <c r="D26" t="s">
        <v>12</v>
      </c>
      <c r="E26" t="s">
        <v>16</v>
      </c>
      <c r="F26">
        <v>5012.1000000000004</v>
      </c>
      <c r="G26">
        <v>0.18454999999999999</v>
      </c>
      <c r="H26">
        <v>4833.3590999999997</v>
      </c>
      <c r="I26">
        <v>0.19889000000000001</v>
      </c>
      <c r="J26" s="8"/>
    </row>
    <row r="27" spans="1:13" x14ac:dyDescent="0.3">
      <c r="A27" s="7" t="s">
        <v>39</v>
      </c>
      <c r="B27" t="s">
        <v>40</v>
      </c>
      <c r="C27">
        <v>30000</v>
      </c>
      <c r="D27" t="s">
        <v>12</v>
      </c>
      <c r="E27" t="s">
        <v>16</v>
      </c>
      <c r="F27">
        <v>5773.89</v>
      </c>
      <c r="G27">
        <v>0.16655</v>
      </c>
      <c r="H27">
        <v>4902.8698999999997</v>
      </c>
      <c r="I27">
        <v>0.20508000000000001</v>
      </c>
      <c r="J27" s="8"/>
    </row>
    <row r="28" spans="1:13" x14ac:dyDescent="0.3">
      <c r="A28" s="7" t="s">
        <v>41</v>
      </c>
      <c r="B28" t="s">
        <v>40</v>
      </c>
      <c r="C28">
        <v>30000</v>
      </c>
      <c r="D28" t="s">
        <v>12</v>
      </c>
      <c r="E28" t="s">
        <v>16</v>
      </c>
      <c r="F28">
        <v>5663.19</v>
      </c>
      <c r="G28">
        <v>0.16292999999999999</v>
      </c>
      <c r="H28">
        <v>5145.5524999999998</v>
      </c>
      <c r="I28">
        <v>0.16983000000000001</v>
      </c>
      <c r="J28" s="8"/>
    </row>
    <row r="29" spans="1:13" x14ac:dyDescent="0.3">
      <c r="A29" s="7" t="s">
        <v>42</v>
      </c>
      <c r="B29" t="s">
        <v>40</v>
      </c>
      <c r="C29">
        <v>30000</v>
      </c>
      <c r="D29" t="s">
        <v>12</v>
      </c>
      <c r="E29" t="s">
        <v>16</v>
      </c>
      <c r="F29">
        <v>5597.52</v>
      </c>
      <c r="G29">
        <v>0.16417999999999999</v>
      </c>
      <c r="H29">
        <v>4977.6338999999998</v>
      </c>
      <c r="I29">
        <v>0.17929999999999999</v>
      </c>
      <c r="J29" s="8"/>
    </row>
    <row r="30" spans="1:13" x14ac:dyDescent="0.3">
      <c r="A30" s="7" t="s">
        <v>43</v>
      </c>
      <c r="B30" t="s">
        <v>40</v>
      </c>
      <c r="C30">
        <v>30000</v>
      </c>
      <c r="D30" t="s">
        <v>12</v>
      </c>
      <c r="E30" t="s">
        <v>16</v>
      </c>
      <c r="F30">
        <v>5641.59</v>
      </c>
      <c r="G30">
        <v>0.16400000000000001</v>
      </c>
      <c r="H30">
        <v>5031.5069999999996</v>
      </c>
      <c r="I30">
        <v>0.18106</v>
      </c>
      <c r="J30" s="8"/>
    </row>
    <row r="31" spans="1:13" x14ac:dyDescent="0.3">
      <c r="A31" s="7" t="s">
        <v>44</v>
      </c>
      <c r="B31" t="s">
        <v>40</v>
      </c>
      <c r="C31">
        <v>30000</v>
      </c>
      <c r="D31" t="s">
        <v>12</v>
      </c>
      <c r="E31" t="s">
        <v>16</v>
      </c>
      <c r="F31">
        <v>5624.7</v>
      </c>
      <c r="G31">
        <v>0.16420000000000001</v>
      </c>
      <c r="H31">
        <v>5400.2258000000002</v>
      </c>
      <c r="I31">
        <v>0.18198</v>
      </c>
    </row>
    <row r="32" spans="1:13" x14ac:dyDescent="0.3">
      <c r="A32" s="7" t="s">
        <v>45</v>
      </c>
      <c r="B32" t="s">
        <v>40</v>
      </c>
      <c r="C32">
        <v>30000</v>
      </c>
      <c r="D32" t="s">
        <v>12</v>
      </c>
      <c r="E32" t="s">
        <v>16</v>
      </c>
      <c r="F32">
        <v>5670.69</v>
      </c>
      <c r="G32">
        <v>0.16708000000000001</v>
      </c>
      <c r="H32">
        <v>5248.97</v>
      </c>
      <c r="I32">
        <v>0.19559000000000001</v>
      </c>
      <c r="M32" s="8"/>
    </row>
    <row r="33" spans="1:10" x14ac:dyDescent="0.3">
      <c r="A33" s="7" t="s">
        <v>46</v>
      </c>
      <c r="B33" t="s">
        <v>40</v>
      </c>
      <c r="C33">
        <v>30000</v>
      </c>
      <c r="D33" t="s">
        <v>12</v>
      </c>
      <c r="E33" t="s">
        <v>16</v>
      </c>
      <c r="F33">
        <v>5644.41</v>
      </c>
      <c r="G33">
        <v>0.17369000000000001</v>
      </c>
      <c r="H33">
        <v>5374.4880000000003</v>
      </c>
      <c r="I33" s="14">
        <v>0.17649000000000001</v>
      </c>
    </row>
    <row r="34" spans="1:10" x14ac:dyDescent="0.3">
      <c r="A34" s="7" t="s">
        <v>47</v>
      </c>
      <c r="B34" t="s">
        <v>40</v>
      </c>
      <c r="C34">
        <v>30000</v>
      </c>
      <c r="D34" t="s">
        <v>12</v>
      </c>
      <c r="E34" t="s">
        <v>16</v>
      </c>
      <c r="F34">
        <v>5344.2</v>
      </c>
      <c r="G34">
        <v>0.16466</v>
      </c>
      <c r="H34">
        <v>5155.8176000000003</v>
      </c>
      <c r="I34">
        <v>0.19087999999999999</v>
      </c>
    </row>
    <row r="35" spans="1:10" x14ac:dyDescent="0.3">
      <c r="A35" s="7" t="s">
        <v>48</v>
      </c>
      <c r="B35" t="s">
        <v>40</v>
      </c>
      <c r="C35">
        <v>30000</v>
      </c>
      <c r="D35" t="s">
        <v>12</v>
      </c>
      <c r="E35" t="s">
        <v>16</v>
      </c>
      <c r="F35">
        <v>5223.18</v>
      </c>
      <c r="G35">
        <v>0.18090999999999999</v>
      </c>
      <c r="H35">
        <v>5041.1989999999996</v>
      </c>
      <c r="I35">
        <v>0.1812</v>
      </c>
    </row>
    <row r="36" spans="1:10" x14ac:dyDescent="0.3">
      <c r="A36" s="7" t="s">
        <v>49</v>
      </c>
      <c r="B36" t="s">
        <v>40</v>
      </c>
      <c r="C36">
        <v>30000</v>
      </c>
      <c r="D36" t="s">
        <v>12</v>
      </c>
      <c r="E36" t="s">
        <v>16</v>
      </c>
      <c r="F36">
        <v>4923.93</v>
      </c>
      <c r="G36">
        <v>0.18124000000000001</v>
      </c>
      <c r="H36">
        <v>4765.6532999999999</v>
      </c>
      <c r="I36">
        <v>0.19286</v>
      </c>
    </row>
    <row r="37" spans="1:10" x14ac:dyDescent="0.3">
      <c r="A37" s="7" t="s">
        <v>50</v>
      </c>
      <c r="B37" t="s">
        <v>40</v>
      </c>
      <c r="C37">
        <v>30000</v>
      </c>
      <c r="D37" t="s">
        <v>12</v>
      </c>
      <c r="E37" t="s">
        <v>16</v>
      </c>
      <c r="F37">
        <v>5078.7</v>
      </c>
      <c r="G37">
        <v>0.19571</v>
      </c>
      <c r="H37">
        <v>4938.6022999999996</v>
      </c>
      <c r="I37">
        <v>0.19938</v>
      </c>
    </row>
    <row r="38" spans="1:10" x14ac:dyDescent="0.3">
      <c r="A38" s="7" t="s">
        <v>51</v>
      </c>
      <c r="B38" t="s">
        <v>40</v>
      </c>
      <c r="C38">
        <v>30000</v>
      </c>
      <c r="D38" t="s">
        <v>12</v>
      </c>
      <c r="E38" t="s">
        <v>16</v>
      </c>
      <c r="F38">
        <v>5155.6499999999996</v>
      </c>
      <c r="G38">
        <v>0.19511999999999999</v>
      </c>
      <c r="H38">
        <v>5092.1408000000001</v>
      </c>
      <c r="I38">
        <v>0.19644</v>
      </c>
    </row>
    <row r="39" spans="1:10" x14ac:dyDescent="0.3">
      <c r="A39" s="7" t="s">
        <v>52</v>
      </c>
      <c r="B39" t="s">
        <v>40</v>
      </c>
      <c r="C39">
        <v>30000</v>
      </c>
      <c r="D39" t="s">
        <v>12</v>
      </c>
      <c r="E39" t="s">
        <v>16</v>
      </c>
      <c r="F39">
        <v>5339.52</v>
      </c>
      <c r="G39">
        <v>0.19112999999999999</v>
      </c>
      <c r="H39">
        <v>5196.3100999999997</v>
      </c>
      <c r="I39">
        <v>0.19431000000000001</v>
      </c>
      <c r="J39" s="8"/>
    </row>
    <row r="40" spans="1:10" x14ac:dyDescent="0.3">
      <c r="A40" s="7" t="s">
        <v>53</v>
      </c>
      <c r="B40" t="s">
        <v>40</v>
      </c>
      <c r="C40">
        <v>30000</v>
      </c>
      <c r="D40" t="s">
        <v>12</v>
      </c>
      <c r="E40" t="s">
        <v>16</v>
      </c>
      <c r="F40">
        <v>5337.63</v>
      </c>
      <c r="G40">
        <v>0.18135999999999999</v>
      </c>
      <c r="H40">
        <v>5165.9218000000001</v>
      </c>
      <c r="I40">
        <v>0.19317999999999999</v>
      </c>
    </row>
    <row r="41" spans="1:10" x14ac:dyDescent="0.3">
      <c r="A41" s="7" t="s">
        <v>54</v>
      </c>
      <c r="B41" t="s">
        <v>40</v>
      </c>
      <c r="C41">
        <v>30000</v>
      </c>
      <c r="D41" t="s">
        <v>12</v>
      </c>
      <c r="E41" t="s">
        <v>16</v>
      </c>
      <c r="F41">
        <v>5332.02</v>
      </c>
      <c r="G41">
        <v>0.19384999999999999</v>
      </c>
      <c r="H41">
        <v>5182.2212</v>
      </c>
      <c r="I41">
        <v>0.19392000000000001</v>
      </c>
      <c r="J41" s="8"/>
    </row>
    <row r="42" spans="1:10" x14ac:dyDescent="0.3">
      <c r="A42" s="7" t="s">
        <v>55</v>
      </c>
      <c r="B42" t="s">
        <v>40</v>
      </c>
      <c r="C42">
        <v>30000</v>
      </c>
      <c r="D42" t="s">
        <v>12</v>
      </c>
      <c r="E42" t="s">
        <v>16</v>
      </c>
      <c r="F42">
        <v>5244.75</v>
      </c>
      <c r="G42">
        <v>0.19256000000000001</v>
      </c>
      <c r="H42">
        <v>5119.8179</v>
      </c>
      <c r="I42">
        <v>0.19034999999999999</v>
      </c>
      <c r="J42" s="8"/>
    </row>
    <row r="43" spans="1:10" x14ac:dyDescent="0.3">
      <c r="A43" s="7" t="s">
        <v>56</v>
      </c>
      <c r="B43" t="s">
        <v>40</v>
      </c>
      <c r="C43">
        <v>30000</v>
      </c>
      <c r="D43" t="s">
        <v>12</v>
      </c>
      <c r="E43" t="s">
        <v>16</v>
      </c>
      <c r="F43">
        <v>5385.48</v>
      </c>
      <c r="G43">
        <v>0.18603</v>
      </c>
      <c r="H43">
        <v>5155.9182000000001</v>
      </c>
      <c r="I43">
        <v>0.19131000000000001</v>
      </c>
      <c r="J43" s="8"/>
    </row>
    <row r="44" spans="1:10" x14ac:dyDescent="0.3">
      <c r="A44" s="7" t="s">
        <v>57</v>
      </c>
      <c r="B44" t="s">
        <v>40</v>
      </c>
      <c r="C44">
        <v>30000</v>
      </c>
      <c r="D44" t="s">
        <v>12</v>
      </c>
      <c r="E44" t="s">
        <v>16</v>
      </c>
      <c r="F44">
        <v>5458.65</v>
      </c>
      <c r="G44">
        <v>0.19017000000000001</v>
      </c>
      <c r="H44">
        <v>5212.9872999999998</v>
      </c>
      <c r="I44">
        <v>0.19153000000000001</v>
      </c>
    </row>
    <row r="45" spans="1:10" x14ac:dyDescent="0.3">
      <c r="A45" s="7" t="s">
        <v>58</v>
      </c>
      <c r="B45" t="s">
        <v>40</v>
      </c>
      <c r="C45">
        <v>30000</v>
      </c>
      <c r="D45" t="s">
        <v>12</v>
      </c>
      <c r="E45" t="s">
        <v>16</v>
      </c>
      <c r="F45">
        <v>5362.98</v>
      </c>
      <c r="G45">
        <v>0.18212</v>
      </c>
      <c r="H45">
        <v>5284.0105999999996</v>
      </c>
      <c r="I45">
        <v>0.18789</v>
      </c>
    </row>
    <row r="46" spans="1:10" x14ac:dyDescent="0.3">
      <c r="A46" s="7" t="s">
        <v>59</v>
      </c>
      <c r="B46" t="s">
        <v>40</v>
      </c>
      <c r="C46">
        <v>30000</v>
      </c>
      <c r="D46" t="s">
        <v>12</v>
      </c>
      <c r="E46" t="s">
        <v>16</v>
      </c>
      <c r="F46">
        <v>5890.2</v>
      </c>
      <c r="G46">
        <v>0.18226999999999999</v>
      </c>
      <c r="H46">
        <v>5640.31</v>
      </c>
      <c r="I46">
        <v>0.18576999999999999</v>
      </c>
    </row>
    <row r="47" spans="1:10" x14ac:dyDescent="0.3">
      <c r="A47" s="7" t="s">
        <v>60</v>
      </c>
      <c r="B47" t="s">
        <v>40</v>
      </c>
      <c r="C47">
        <v>30000</v>
      </c>
      <c r="D47" t="s">
        <v>12</v>
      </c>
      <c r="E47" t="s">
        <v>16</v>
      </c>
      <c r="F47">
        <v>5897.7</v>
      </c>
      <c r="G47">
        <v>0.18459999999999999</v>
      </c>
      <c r="H47">
        <v>5693.3747000000003</v>
      </c>
      <c r="I47">
        <v>0.18687999999999999</v>
      </c>
    </row>
    <row r="48" spans="1:10" x14ac:dyDescent="0.3">
      <c r="A48" s="7" t="s">
        <v>61</v>
      </c>
      <c r="B48" t="s">
        <v>40</v>
      </c>
      <c r="C48">
        <v>30000</v>
      </c>
      <c r="D48" t="s">
        <v>12</v>
      </c>
      <c r="E48" t="s">
        <v>16</v>
      </c>
      <c r="F48">
        <v>5872.38</v>
      </c>
      <c r="G48">
        <v>0.17216999999999999</v>
      </c>
      <c r="H48">
        <v>5699.1289999999999</v>
      </c>
      <c r="I48">
        <v>0.18495</v>
      </c>
    </row>
    <row r="49" spans="1:9" x14ac:dyDescent="0.3">
      <c r="A49" s="7" t="s">
        <v>62</v>
      </c>
      <c r="B49" t="s">
        <v>40</v>
      </c>
      <c r="C49">
        <v>30000</v>
      </c>
      <c r="D49" t="s">
        <v>12</v>
      </c>
      <c r="E49" t="s">
        <v>16</v>
      </c>
      <c r="F49">
        <v>5852.67</v>
      </c>
      <c r="G49">
        <v>0.1595</v>
      </c>
      <c r="H49">
        <v>5697.2568000000001</v>
      </c>
      <c r="I49">
        <v>0.18812999999999999</v>
      </c>
    </row>
    <row r="50" spans="1:9" x14ac:dyDescent="0.3">
      <c r="A50" s="7" t="s">
        <v>63</v>
      </c>
      <c r="B50" t="s">
        <v>40</v>
      </c>
      <c r="C50">
        <v>30000</v>
      </c>
      <c r="D50" t="s">
        <v>12</v>
      </c>
      <c r="E50" t="s">
        <v>16</v>
      </c>
      <c r="F50">
        <v>5722.29</v>
      </c>
      <c r="G50">
        <v>0.17535000000000001</v>
      </c>
      <c r="H50">
        <v>5677.7194</v>
      </c>
      <c r="I50">
        <v>0.18990000000000001</v>
      </c>
    </row>
    <row r="51" spans="1:9" x14ac:dyDescent="0.3">
      <c r="A51" s="7" t="s">
        <v>64</v>
      </c>
      <c r="B51" t="s">
        <v>40</v>
      </c>
      <c r="C51">
        <v>30000</v>
      </c>
      <c r="D51" t="s">
        <v>12</v>
      </c>
      <c r="E51" t="s">
        <v>16</v>
      </c>
      <c r="F51">
        <v>5872.38</v>
      </c>
      <c r="G51">
        <v>0.15931999999999999</v>
      </c>
      <c r="H51">
        <v>5681.2335000000003</v>
      </c>
      <c r="I51">
        <v>0.18859999999999999</v>
      </c>
    </row>
    <row r="52" spans="1:9" x14ac:dyDescent="0.3">
      <c r="A52" s="7" t="s">
        <v>65</v>
      </c>
      <c r="B52" t="s">
        <v>40</v>
      </c>
      <c r="C52">
        <v>30000</v>
      </c>
      <c r="D52" t="s">
        <v>12</v>
      </c>
      <c r="E52" t="s">
        <v>16</v>
      </c>
      <c r="F52">
        <v>5914.59</v>
      </c>
      <c r="G52">
        <v>0.17479</v>
      </c>
      <c r="H52">
        <v>5726.5810000000001</v>
      </c>
      <c r="I52">
        <v>0.18387999999999999</v>
      </c>
    </row>
    <row r="53" spans="1:9" x14ac:dyDescent="0.3">
      <c r="A53" s="7" t="s">
        <v>66</v>
      </c>
      <c r="B53" t="s">
        <v>40</v>
      </c>
      <c r="C53">
        <v>30000</v>
      </c>
      <c r="D53" t="s">
        <v>12</v>
      </c>
      <c r="E53" t="s">
        <v>16</v>
      </c>
      <c r="F53">
        <v>6087.21</v>
      </c>
      <c r="G53">
        <v>0.16123999999999999</v>
      </c>
      <c r="H53">
        <v>5919.0564000000004</v>
      </c>
      <c r="I53">
        <v>0.18658</v>
      </c>
    </row>
    <row r="54" spans="1:9" x14ac:dyDescent="0.3">
      <c r="A54" s="7" t="s">
        <v>68</v>
      </c>
      <c r="B54" t="s">
        <v>67</v>
      </c>
      <c r="C54">
        <v>30000</v>
      </c>
      <c r="D54" t="s">
        <v>12</v>
      </c>
      <c r="E54" t="s">
        <v>16</v>
      </c>
      <c r="F54">
        <v>5018.67</v>
      </c>
      <c r="G54">
        <v>0.18695999999999999</v>
      </c>
      <c r="H54">
        <v>4963.3058000000001</v>
      </c>
      <c r="I54">
        <v>0.19114</v>
      </c>
    </row>
    <row r="55" spans="1:9" x14ac:dyDescent="0.3">
      <c r="A55" s="7" t="s">
        <v>69</v>
      </c>
      <c r="B55" t="s">
        <v>67</v>
      </c>
      <c r="C55">
        <v>30000</v>
      </c>
      <c r="D55" t="s">
        <v>12</v>
      </c>
      <c r="E55" t="s">
        <v>16</v>
      </c>
      <c r="F55">
        <v>5455.83</v>
      </c>
      <c r="G55">
        <v>0.18625</v>
      </c>
      <c r="H55">
        <v>5169.9344000000001</v>
      </c>
      <c r="I55">
        <v>0.18623000000000001</v>
      </c>
    </row>
    <row r="56" spans="1:9" x14ac:dyDescent="0.3">
      <c r="A56" s="7" t="s">
        <v>70</v>
      </c>
      <c r="B56" t="s">
        <v>67</v>
      </c>
      <c r="C56">
        <v>30000</v>
      </c>
      <c r="D56" t="s">
        <v>12</v>
      </c>
      <c r="E56" t="s">
        <v>16</v>
      </c>
      <c r="F56">
        <v>5448.33</v>
      </c>
      <c r="G56">
        <v>0.18081</v>
      </c>
      <c r="H56">
        <v>5286.3743000000004</v>
      </c>
      <c r="I56">
        <v>0.18612000000000001</v>
      </c>
    </row>
    <row r="57" spans="1:9" x14ac:dyDescent="0.3">
      <c r="A57" s="7" t="s">
        <v>71</v>
      </c>
      <c r="B57" t="s">
        <v>67</v>
      </c>
      <c r="C57">
        <v>30000</v>
      </c>
      <c r="D57" t="s">
        <v>12</v>
      </c>
      <c r="E57" t="s">
        <v>16</v>
      </c>
      <c r="F57">
        <v>5406.12</v>
      </c>
      <c r="G57">
        <v>0.18511</v>
      </c>
      <c r="H57">
        <v>5237.6180999999997</v>
      </c>
      <c r="I57">
        <v>0.18581</v>
      </c>
    </row>
    <row r="58" spans="1:9" x14ac:dyDescent="0.3">
      <c r="A58" s="7" t="s">
        <v>72</v>
      </c>
      <c r="B58" t="s">
        <v>67</v>
      </c>
      <c r="C58">
        <v>30000</v>
      </c>
      <c r="D58" t="s">
        <v>12</v>
      </c>
      <c r="E58" t="s">
        <v>16</v>
      </c>
      <c r="F58">
        <v>5433.33</v>
      </c>
      <c r="G58">
        <v>0.16552</v>
      </c>
      <c r="H58">
        <v>5303.2091</v>
      </c>
      <c r="I58">
        <v>0.18745000000000001</v>
      </c>
    </row>
    <row r="59" spans="1:9" x14ac:dyDescent="0.3">
      <c r="A59" s="7" t="s">
        <v>73</v>
      </c>
      <c r="B59" t="s">
        <v>67</v>
      </c>
      <c r="C59">
        <v>30000</v>
      </c>
      <c r="D59" t="s">
        <v>12</v>
      </c>
      <c r="E59" t="s">
        <v>16</v>
      </c>
      <c r="F59">
        <v>5164.08</v>
      </c>
      <c r="G59">
        <v>0.18595</v>
      </c>
      <c r="H59">
        <v>5003.7012999999997</v>
      </c>
      <c r="I59">
        <v>0.18718000000000001</v>
      </c>
    </row>
    <row r="60" spans="1:9" x14ac:dyDescent="0.3">
      <c r="A60" s="7" t="s">
        <v>74</v>
      </c>
      <c r="B60" t="s">
        <v>67</v>
      </c>
      <c r="C60">
        <v>30000</v>
      </c>
      <c r="D60" t="s">
        <v>12</v>
      </c>
      <c r="E60" t="s">
        <v>16</v>
      </c>
      <c r="F60">
        <v>4810.41</v>
      </c>
      <c r="G60">
        <v>0.1951</v>
      </c>
      <c r="H60">
        <v>4703.9584000000004</v>
      </c>
      <c r="I60">
        <v>0.19400000000000001</v>
      </c>
    </row>
    <row r="61" spans="1:9" x14ac:dyDescent="0.3">
      <c r="A61" s="7" t="s">
        <v>75</v>
      </c>
      <c r="B61" t="s">
        <v>67</v>
      </c>
      <c r="C61">
        <v>30000</v>
      </c>
      <c r="D61" t="s">
        <v>12</v>
      </c>
      <c r="E61" t="s">
        <v>16</v>
      </c>
      <c r="F61">
        <v>5112.4799999999996</v>
      </c>
      <c r="G61">
        <v>0.18368999999999999</v>
      </c>
      <c r="H61">
        <v>4969.6323000000002</v>
      </c>
      <c r="I61">
        <v>0.18595</v>
      </c>
    </row>
    <row r="62" spans="1:9" x14ac:dyDescent="0.3">
      <c r="A62" s="7" t="s">
        <v>76</v>
      </c>
      <c r="B62" t="s">
        <v>67</v>
      </c>
      <c r="C62">
        <v>30000</v>
      </c>
      <c r="D62" t="s">
        <v>12</v>
      </c>
      <c r="E62" t="s">
        <v>16</v>
      </c>
      <c r="F62">
        <v>5242.89</v>
      </c>
      <c r="G62">
        <v>0.16994999999999999</v>
      </c>
      <c r="H62">
        <v>5134.2503999999999</v>
      </c>
      <c r="I62">
        <v>0.19078999999999999</v>
      </c>
    </row>
    <row r="63" spans="1:9" x14ac:dyDescent="0.3">
      <c r="A63" s="7" t="s">
        <v>77</v>
      </c>
      <c r="B63" t="s">
        <v>67</v>
      </c>
      <c r="C63">
        <v>30000</v>
      </c>
      <c r="D63" t="s">
        <v>12</v>
      </c>
      <c r="E63" t="s">
        <v>16</v>
      </c>
      <c r="F63">
        <v>5211</v>
      </c>
      <c r="G63">
        <v>0.16496</v>
      </c>
      <c r="H63">
        <v>5055.8172000000004</v>
      </c>
      <c r="I63">
        <v>0.19006999999999999</v>
      </c>
    </row>
    <row r="64" spans="1:9" x14ac:dyDescent="0.3">
      <c r="A64" s="7" t="s">
        <v>78</v>
      </c>
      <c r="B64" t="s">
        <v>67</v>
      </c>
      <c r="C64">
        <v>30000</v>
      </c>
      <c r="D64" t="s">
        <v>12</v>
      </c>
      <c r="E64" t="s">
        <v>16</v>
      </c>
      <c r="F64">
        <v>4976.46</v>
      </c>
      <c r="G64">
        <v>0.17083000000000001</v>
      </c>
      <c r="H64">
        <v>4895.8733000000002</v>
      </c>
      <c r="I64">
        <v>0.19312000000000001</v>
      </c>
    </row>
    <row r="65" spans="1:10" x14ac:dyDescent="0.3">
      <c r="A65" s="7" t="s">
        <v>79</v>
      </c>
      <c r="B65" t="s">
        <v>67</v>
      </c>
      <c r="C65">
        <v>30000</v>
      </c>
      <c r="D65" t="s">
        <v>12</v>
      </c>
      <c r="E65" t="s">
        <v>16</v>
      </c>
      <c r="F65">
        <v>5176.29</v>
      </c>
      <c r="G65">
        <v>0.18764</v>
      </c>
      <c r="H65">
        <v>5012.4566000000004</v>
      </c>
      <c r="I65">
        <v>0.19123000000000001</v>
      </c>
    </row>
    <row r="66" spans="1:10" x14ac:dyDescent="0.3">
      <c r="A66" s="7" t="s">
        <v>80</v>
      </c>
      <c r="B66" t="s">
        <v>67</v>
      </c>
      <c r="C66">
        <v>30000</v>
      </c>
      <c r="D66" t="s">
        <v>12</v>
      </c>
      <c r="E66" t="s">
        <v>16</v>
      </c>
      <c r="F66">
        <v>4791.63</v>
      </c>
      <c r="G66">
        <v>0.17133000000000001</v>
      </c>
      <c r="H66">
        <v>4744.5901000000003</v>
      </c>
      <c r="I66">
        <v>0.19574</v>
      </c>
    </row>
    <row r="67" spans="1:10" x14ac:dyDescent="0.3">
      <c r="A67" s="7" t="s">
        <v>81</v>
      </c>
      <c r="B67" t="s">
        <v>67</v>
      </c>
      <c r="C67">
        <v>30000</v>
      </c>
      <c r="D67" t="s">
        <v>12</v>
      </c>
      <c r="E67" t="s">
        <v>16</v>
      </c>
      <c r="F67">
        <v>4967.07</v>
      </c>
      <c r="G67">
        <v>0.18844</v>
      </c>
      <c r="H67">
        <v>4819.1436000000003</v>
      </c>
      <c r="I67">
        <v>0.19450999999999999</v>
      </c>
    </row>
    <row r="68" spans="1:10" x14ac:dyDescent="0.3">
      <c r="A68" s="7" t="s">
        <v>82</v>
      </c>
      <c r="B68" t="s">
        <v>67</v>
      </c>
      <c r="C68">
        <v>30000</v>
      </c>
      <c r="D68" t="s">
        <v>12</v>
      </c>
      <c r="E68" t="s">
        <v>16</v>
      </c>
      <c r="F68">
        <v>4316.01</v>
      </c>
      <c r="G68">
        <v>0.18367</v>
      </c>
      <c r="H68">
        <v>4228.5178999999998</v>
      </c>
      <c r="I68">
        <v>0.18484999999999999</v>
      </c>
    </row>
    <row r="69" spans="1:10" x14ac:dyDescent="0.3">
      <c r="A69" s="7" t="s">
        <v>83</v>
      </c>
      <c r="B69" t="s">
        <v>40</v>
      </c>
      <c r="C69">
        <v>30000</v>
      </c>
      <c r="D69" t="s">
        <v>12</v>
      </c>
      <c r="E69" t="s">
        <v>16</v>
      </c>
      <c r="F69">
        <v>4820.7299999999996</v>
      </c>
      <c r="G69">
        <v>0.16819999999999999</v>
      </c>
      <c r="H69">
        <v>4610.1994000000004</v>
      </c>
      <c r="I69">
        <v>0.1865</v>
      </c>
    </row>
    <row r="70" spans="1:10" x14ac:dyDescent="0.3">
      <c r="A70" s="7" t="s">
        <v>84</v>
      </c>
      <c r="B70" t="s">
        <v>33</v>
      </c>
      <c r="C70">
        <v>30000</v>
      </c>
      <c r="D70" t="s">
        <v>12</v>
      </c>
      <c r="E70" t="s">
        <v>16</v>
      </c>
      <c r="F70">
        <v>5337.63</v>
      </c>
      <c r="G70">
        <v>0.17038</v>
      </c>
      <c r="H70">
        <v>4825.0361000000003</v>
      </c>
      <c r="I70">
        <v>0.18246999999999999</v>
      </c>
    </row>
    <row r="71" spans="1:10" x14ac:dyDescent="0.3">
      <c r="A71" s="7" t="s">
        <v>85</v>
      </c>
      <c r="B71" t="s">
        <v>33</v>
      </c>
      <c r="C71">
        <v>30000</v>
      </c>
      <c r="D71" t="s">
        <v>12</v>
      </c>
      <c r="E71" t="s">
        <v>16</v>
      </c>
      <c r="F71">
        <v>4991.46</v>
      </c>
      <c r="G71">
        <v>0.16777</v>
      </c>
      <c r="H71">
        <v>4740.8540000000003</v>
      </c>
      <c r="I71">
        <v>0.17494000000000001</v>
      </c>
    </row>
    <row r="72" spans="1:10" x14ac:dyDescent="0.3">
      <c r="A72" s="7" t="s">
        <v>86</v>
      </c>
      <c r="B72" t="s">
        <v>33</v>
      </c>
      <c r="C72">
        <v>30000</v>
      </c>
      <c r="D72" t="s">
        <v>12</v>
      </c>
      <c r="E72" t="s">
        <v>16</v>
      </c>
      <c r="F72">
        <v>5013.03</v>
      </c>
      <c r="G72">
        <v>0.16803999999999999</v>
      </c>
      <c r="H72">
        <v>4663.8387000000002</v>
      </c>
      <c r="I72">
        <v>0.17038</v>
      </c>
    </row>
    <row r="73" spans="1:10" x14ac:dyDescent="0.3">
      <c r="A73" s="7" t="s">
        <v>87</v>
      </c>
      <c r="B73" t="s">
        <v>33</v>
      </c>
      <c r="C73">
        <v>30000</v>
      </c>
      <c r="D73" t="s">
        <v>12</v>
      </c>
      <c r="E73" t="s">
        <v>16</v>
      </c>
      <c r="F73">
        <v>4801.0200000000004</v>
      </c>
      <c r="G73">
        <v>0.16395000000000001</v>
      </c>
      <c r="H73">
        <v>4659.1026000000002</v>
      </c>
      <c r="I73">
        <v>0.16716</v>
      </c>
    </row>
    <row r="74" spans="1:10" x14ac:dyDescent="0.3">
      <c r="A74" s="7" t="s">
        <v>88</v>
      </c>
      <c r="B74" t="s">
        <v>28</v>
      </c>
      <c r="C74">
        <v>30000</v>
      </c>
      <c r="D74" t="s">
        <v>12</v>
      </c>
      <c r="E74" t="s">
        <v>16</v>
      </c>
      <c r="F74">
        <v>5273.85</v>
      </c>
      <c r="G74">
        <v>0.16408</v>
      </c>
      <c r="H74">
        <v>4948.7609000000002</v>
      </c>
      <c r="I74">
        <v>0.16672000000000001</v>
      </c>
    </row>
    <row r="75" spans="1:10" x14ac:dyDescent="0.3">
      <c r="A75" s="7" t="s">
        <v>89</v>
      </c>
      <c r="B75" t="s">
        <v>28</v>
      </c>
      <c r="C75">
        <v>30000</v>
      </c>
      <c r="D75" t="s">
        <v>12</v>
      </c>
      <c r="E75" t="s">
        <v>16</v>
      </c>
      <c r="F75">
        <v>5045.88</v>
      </c>
      <c r="G75">
        <v>0.15987000000000001</v>
      </c>
      <c r="H75">
        <v>4807.1848</v>
      </c>
      <c r="I75">
        <v>0.16409000000000001</v>
      </c>
    </row>
    <row r="76" spans="1:10" x14ac:dyDescent="0.3">
      <c r="A76" s="7" t="s">
        <v>90</v>
      </c>
      <c r="B76" t="s">
        <v>28</v>
      </c>
      <c r="C76">
        <v>30000</v>
      </c>
      <c r="D76" t="s">
        <v>12</v>
      </c>
      <c r="E76" t="s">
        <v>16</v>
      </c>
      <c r="F76">
        <v>5281.35</v>
      </c>
      <c r="G76">
        <v>0.16069</v>
      </c>
      <c r="H76">
        <v>5057.3076000000001</v>
      </c>
      <c r="I76">
        <v>0.16508999999999999</v>
      </c>
    </row>
    <row r="77" spans="1:10" x14ac:dyDescent="0.3">
      <c r="A77" s="7" t="s">
        <v>91</v>
      </c>
      <c r="B77" t="s">
        <v>28</v>
      </c>
      <c r="C77">
        <v>30000</v>
      </c>
      <c r="D77" t="s">
        <v>12</v>
      </c>
      <c r="E77" t="s">
        <v>16</v>
      </c>
      <c r="F77">
        <v>5495.25</v>
      </c>
      <c r="G77">
        <v>0.1588</v>
      </c>
      <c r="H77">
        <v>5190.8064999999997</v>
      </c>
      <c r="I77">
        <v>0.16213</v>
      </c>
      <c r="J77" s="15" t="s">
        <v>92</v>
      </c>
    </row>
    <row r="78" spans="1:10" x14ac:dyDescent="0.3">
      <c r="F78">
        <f>AVERAGE(F13:F77)/1000</f>
        <v>5.3874900000000006</v>
      </c>
      <c r="G78">
        <f>AVERAGE(G13:G77)*1000</f>
        <v>175.56200000000004</v>
      </c>
      <c r="H78">
        <f>AVERAGE(H13:H77)/1000</f>
        <v>5.1413151092307681</v>
      </c>
      <c r="I78">
        <f>AVERAGE(I13:I77)*1000</f>
        <v>187.84923076923076</v>
      </c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0C9E90-2044-4EDD-BBDA-019F78323240}"/>
</file>

<file path=customXml/itemProps2.xml><?xml version="1.0" encoding="utf-8"?>
<ds:datastoreItem xmlns:ds="http://schemas.openxmlformats.org/officeDocument/2006/customXml" ds:itemID="{DE77CDF0-89B3-4FE6-9529-3D51C7A0CDAD}"/>
</file>

<file path=customXml/itemProps3.xml><?xml version="1.0" encoding="utf-8"?>
<ds:datastoreItem xmlns:ds="http://schemas.openxmlformats.org/officeDocument/2006/customXml" ds:itemID="{1DB219D6-F363-468F-8D4B-63541E7DF6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2025-06-24T14:49:35Z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